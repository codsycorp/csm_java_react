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Backup\data.windows\Desktop\CRM Phú Sơn\"/>
    </mc:Choice>
  </mc:AlternateContent>
  <xr:revisionPtr revIDLastSave="0" documentId="13_ncr:1_{BBCCA9FC-9B22-4952-9237-53BF992FB7CF}" xr6:coauthVersionLast="41" xr6:coauthVersionMax="41" xr10:uidLastSave="{00000000-0000-0000-0000-000000000000}"/>
  <bookViews>
    <workbookView xWindow="-108" yWindow="-108" windowWidth="23256" windowHeight="12456" activeTab="2" xr2:uid="{56E99E01-D7C6-4717-958E-86D9BB7CA10D}"/>
  </bookViews>
  <sheets>
    <sheet name="1.Báo giá" sheetId="1" r:id="rId1"/>
    <sheet name="2. Lệnh sản xuất nội bộ " sheetId="2" r:id="rId2"/>
    <sheet name="3. Lệnh sản xuất kiêm PXK" sheetId="3" r:id="rId3"/>
  </sheets>
  <definedNames>
    <definedName name="___NSO2">{"'Sheet1'!$L$16"}</definedName>
    <definedName name="__a1">{"'Sheet1'!$L$16"}</definedName>
    <definedName name="__h1">{"'Sheet1'!$L$16"}</definedName>
    <definedName name="__hu1">{"'Sheet1'!$L$16"}</definedName>
    <definedName name="__hu2">{"'Sheet1'!$L$16"}</definedName>
    <definedName name="__hu5">{"'Sheet1'!$L$16"}</definedName>
    <definedName name="__hu6">{"'Sheet1'!$L$16"}</definedName>
    <definedName name="__IntlFixup">TRUE</definedName>
    <definedName name="__NSO2">{"'Sheet1'!$L$16"}</definedName>
    <definedName name="__PA3">{"'Sheet1'!$L$16"}</definedName>
    <definedName name="_a1">{"'Sheet1'!$L$16"}</definedName>
    <definedName name="_a2">{"'Sheet1'!$L$16"}</definedName>
    <definedName name="_CN1">{"'Sheet1'!$L$16"}</definedName>
    <definedName name="_cn3">{"'Sheet1'!$L$16"}</definedName>
    <definedName name="_d1500">{"'Sheet1'!$L$16"}</definedName>
    <definedName name="_GD3">{"'Sheet1'!$L$16"}</definedName>
    <definedName name="_Goi8">{"'Sheet1'!$L$16"}</definedName>
    <definedName name="_h1">{"'Sheet1'!$L$16"}</definedName>
    <definedName name="_hu1">{"'Sheet1'!$L$16"}</definedName>
    <definedName name="_hu2">{"'Sheet1'!$L$16"}</definedName>
    <definedName name="_hu5">{"'Sheet1'!$L$16"}</definedName>
    <definedName name="_hu6">{"'Sheet1'!$L$16"}</definedName>
    <definedName name="_NSO2">{"'Sheet1'!$L$16"}</definedName>
    <definedName name="_Order1">255</definedName>
    <definedName name="_Order2">255</definedName>
    <definedName name="_PA3">{"'Sheet1'!$L$16"}</definedName>
    <definedName name="_Regression_Int">1</definedName>
    <definedName name="_T2">{"'Sheet1'!$L$16"}</definedName>
    <definedName name="aaafff">{"'장비'!$A$3:$M$12"}</definedName>
    <definedName name="AccessDatabase">"D:\_genkou\excel97\sample\支店集計作業\本社合計2.mdb"</definedName>
    <definedName name="ADITION">{"'장비'!$A$3:$M$12"}</definedName>
    <definedName name="agfg">{"'장비'!$A$3:$M$12"}</definedName>
    <definedName name="anscount">1</definedName>
    <definedName name="AS2DocOpenMode">"AS2DocumentEdit"</definedName>
    <definedName name="ATGT">{"'Sheet1'!$L$16"}</definedName>
    <definedName name="bc">{"'Sheet1'!$L$16"}</definedName>
    <definedName name="BCTQ">{"'Sheet1'!$L$16"}</definedName>
    <definedName name="btl">{"'Sheet1'!$L$16"}</definedName>
    <definedName name="chitietbgiang2">{"'Sheet1'!$L$16"}</definedName>
    <definedName name="chuyen">{"'Sheet1'!$L$16"}</definedName>
    <definedName name="civil2">{"'장비'!$A$3:$M$12"}</definedName>
    <definedName name="cn2a">{"'Sheet1'!$L$16"}</definedName>
    <definedName name="CON">{"'Sheet1'!$L$16"}</definedName>
    <definedName name="concrete">{"'Sheet1'!$L$16"}</definedName>
    <definedName name="CTCT1">{"'Sheet1'!$L$16"}</definedName>
    <definedName name="dddf">{"'장비'!$A$3:$M$12"}</definedName>
    <definedName name="dfaf">{"'장비'!$A$3:$M$12"}</definedName>
    <definedName name="dfdf">{"'장비'!$A$3:$M$12"}</definedName>
    <definedName name="DIAMOND">{"'장비'!$A$3:$M$12"}</definedName>
    <definedName name="ert">{"'장비'!$A$3:$M$12"}</definedName>
    <definedName name="erty">{"'장비'!$A$3:$M$12"}</definedName>
    <definedName name="EWRWE">{"'장비'!$A$3:$M$12"}</definedName>
    <definedName name="ewrweq">{"'장비'!$A$3:$M$12"}</definedName>
    <definedName name="fffffffg">{"'장비'!$A$3:$M$12"}</definedName>
    <definedName name="ffgfg">{"'장비'!$A$3:$M$12"}</definedName>
    <definedName name="FIRST">{"'Sheet1'!$L$16"}</definedName>
    <definedName name="FORMWORK">{"'Sheet1'!$L$16"}</definedName>
    <definedName name="ga">{"'Sheet1'!$L$16"}</definedName>
    <definedName name="gggg">{"'장비'!$A$3:$M$12"}</definedName>
    <definedName name="gh">{"'Sheet1'!$L$16"}</definedName>
    <definedName name="GroundFloor">{"'Sheet1'!$L$16"}</definedName>
    <definedName name="h">{"'Sheet1'!$L$16"}</definedName>
    <definedName name="h_xoa">{"'Sheet1'!$L$16"}</definedName>
    <definedName name="h_xoa2">{"'Sheet1'!$L$16"}</definedName>
    <definedName name="hg">{"'Sheet1'!$L$16"}</definedName>
    <definedName name="hhh">{"'장비'!$A$3:$M$12"}</definedName>
    <definedName name="htlm">{"'Sheet1'!$L$16"}</definedName>
    <definedName name="HTML">{"'장비'!$A$3:$M$12"}</definedName>
    <definedName name="HTML_CodePage">950</definedName>
    <definedName name="HTML_Control">{"'Sheet1'!$L$16"}</definedName>
    <definedName name="html_control_xoa2">{"'Sheet1'!$L$16"}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"C:\2689\Q\??\00q3961????PTA3??\MyHTML.htm"</definedName>
    <definedName name="HTML_Title">"00Q3961-SUM"</definedName>
    <definedName name="HTML1">{"'장비'!$A$3:$M$12"}</definedName>
    <definedName name="huy">{"'Sheet1'!$L$16"}</definedName>
    <definedName name="huy_xoa">{"'Sheet1'!$L$16"}</definedName>
    <definedName name="huy_xoa2">{"'Sheet1'!$L$16"}</definedName>
    <definedName name="hy">{"'Sheet1'!$L$16"}</definedName>
    <definedName name="kjkgh">{"'장비'!$A$3:$M$12"}</definedName>
    <definedName name="ks">{"'Sheet1'!$L$16"}</definedName>
    <definedName name="ksbn">{"'Sheet1'!$L$16"}</definedName>
    <definedName name="kshn">{"'Sheet1'!$L$16"}</definedName>
    <definedName name="ksls">{"'Sheet1'!$L$16"}</definedName>
    <definedName name="langson">{"'Sheet1'!$L$16"}</definedName>
    <definedName name="lee">{"'Sheet1'!$L$16"}</definedName>
    <definedName name="level1">{"'장비'!$A$3:$M$12"}</definedName>
    <definedName name="Long">{"'Sheet1'!$L$16"}</definedName>
    <definedName name="Middle">{"'Sheet1'!$L$16"}</definedName>
    <definedName name="mmm">{"'장비'!$A$3:$M$12"}</definedName>
    <definedName name="mmmm">{"'장비'!$A$3:$M$12"}</definedName>
    <definedName name="mo">{"'Sheet1'!$L$16"}</definedName>
    <definedName name="moi">{"'Sheet1'!$L$16"}</definedName>
    <definedName name="PAIII_">{"'Sheet1'!$L$16"}</definedName>
    <definedName name="PMS">{"'Sheet1'!$L$16"}</definedName>
    <definedName name="qqqq">{"'장비'!$A$3:$M$12"}</definedName>
    <definedName name="qwwwwwwwwww">{"'Sheet1'!$L$16"}</definedName>
    <definedName name="RNAO">{"'장비'!$A$3:$M$12"}</definedName>
    <definedName name="rtytry">{"'장비'!$A$3:$M$12"}</definedName>
    <definedName name="sa">{"'Sheet1'!$L$16"}</definedName>
    <definedName name="sdfdf">{"'장비'!$A$3:$M$12"}</definedName>
    <definedName name="sefse">{"'장비'!$A$3:$M$12"}</definedName>
    <definedName name="sheet4">{"'Sheet1'!$L$16"}</definedName>
    <definedName name="solver_lin">0</definedName>
    <definedName name="solver_num">0</definedName>
    <definedName name="solver_typ">3</definedName>
    <definedName name="solver_val">231184</definedName>
    <definedName name="tha">{"'Sheet1'!$L$16"}</definedName>
    <definedName name="THANH">{"'Sheet1'!$L$16"}</definedName>
    <definedName name="THC">{"'Sheet1'!$L$16"}</definedName>
    <definedName name="THDT">{"'Sheet1'!$L$16"}</definedName>
    <definedName name="Tram">{"'Sheet1'!$L$16"}</definedName>
    <definedName name="TTlan2">{"'Sheet1'!$L$16"}</definedName>
    <definedName name="TU">{"'Sheet1'!$L$16"}</definedName>
    <definedName name="tuyennhanh">{"'Sheet1'!$L$16"}</definedName>
    <definedName name="tuynen">{"'Sheet1'!$L$16"}</definedName>
    <definedName name="tyt">{"'장비'!$A$3:$M$12"}</definedName>
    <definedName name="tyyuy">{"'장비'!$A$3:$M$12"}</definedName>
    <definedName name="uhiuhj">{"'Sheet1'!$L$16"}</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{"'Sheet1'!$L$16"}</definedName>
    <definedName name="uuuuuu">{"'장비'!$A$3:$M$12"}</definedName>
    <definedName name="uy">{"'장비'!$A$3:$M$12"}</definedName>
    <definedName name="vcoto">{"'Sheet1'!$L$16"}</definedName>
    <definedName name="wjs">{"'장비'!$A$3:$M$12"}</definedName>
    <definedName name="wre">{"'Sheet1'!$L$16"}</definedName>
    <definedName name="xlttbninh">{"'Sheet1'!$L$16"}</definedName>
    <definedName name="XN908nam2003">{"'Sheet1'!$L$16"}</definedName>
    <definedName name="xoa1">{"'Sheet1'!$L$16"}</definedName>
    <definedName name="xx">{"'Sheet1'!$L$16"}</definedName>
    <definedName name="xxx">{"'Sheet1'!$L$16"}</definedName>
    <definedName name="yuyu">{"'장비'!$A$3:$M$12"}</definedName>
    <definedName name="yuyuyu">{"'장비'!$A$3:$M$12"}</definedName>
    <definedName name="yy">{"'Sheet1'!$L$16"}</definedName>
    <definedName name="yyy">{"'Sheet1'!$L$16"}</definedName>
    <definedName name="yyyyy">{"'장비'!$A$3:$M$12"}</definedName>
    <definedName name="견적품의서">{"'장비'!$A$3:$M$12"}</definedName>
    <definedName name="견적품의서1">{"'장비'!$A$3:$M$12"}</definedName>
    <definedName name="경비2차분">{"'장비'!$A$3:$M$12"}</definedName>
    <definedName name="뭉">{"'장비'!$A$3:$M$12"}</definedName>
    <definedName name="보조기층">{"'장비'!$A$3:$M$12"}</definedName>
    <definedName name="석재받은의뢰업체">255</definedName>
    <definedName name="ㅈㅈ">{"'장비'!$A$3:$M$12"}</definedName>
    <definedName name="ㅈㅈㅈㅈㅈ">{"'장비'!$A$3:$M$12"}</definedName>
    <definedName name="전기">{"'장비'!$A$3:$M$12"}</definedName>
    <definedName name="전기구">{"'장비'!$A$3:$M$12"}</definedName>
    <definedName name="전기기기">{"'장비'!$A$3:$M$12"}</definedName>
    <definedName name="추가분">{"'장비'!$A$3:$M$12"}</definedName>
    <definedName name="토건">{"'장비'!$A$3:$M$12"}</definedName>
    <definedName name="토건공사비대비r">{"'장비'!$A$3:$M$12"}</definedName>
    <definedName name="토건업체">{"'장비'!$A$3:$M$12"}</definedName>
    <definedName name="토건집계표r">{"'장비'!$A$3:$M$12"}</definedName>
    <definedName name="토목변경">{"'장비'!$A$3:$M$12"}</definedName>
    <definedName name="토목실행예산">{"'장비'!$A$3:$M$12"}</definedName>
    <definedName name="토목조정분">{"'장비'!$A$3:$M$12"}</definedName>
    <definedName name="투찰예정가50">{"'장비'!$A$3:$M$12"}</definedName>
    <definedName name="투찰예정본부장">{"'장비'!$A$3:$M$12"}</definedName>
    <definedName name="현장지도">{"'장비'!$A$3:$M$12"}</definedName>
    <definedName name="현지공사비">{"'장비'!$A$3:$M$12"}</definedName>
    <definedName name="현지공사비총괄">{"'장비'!$A$3:$M$12"}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0" i="3" l="1"/>
  <c r="C9" i="3"/>
  <c r="G8" i="3"/>
  <c r="C8" i="3"/>
  <c r="H25" i="3"/>
  <c r="J25" i="3" s="1"/>
  <c r="H24" i="3"/>
  <c r="J24" i="3" s="1"/>
  <c r="J23" i="3" s="1"/>
  <c r="H23" i="3"/>
  <c r="G23" i="3"/>
  <c r="H20" i="3"/>
  <c r="H18" i="3" s="1"/>
  <c r="J18" i="3" s="1"/>
  <c r="H19" i="3"/>
  <c r="G18" i="3"/>
  <c r="I16" i="3"/>
  <c r="J16" i="3" s="1"/>
  <c r="H16" i="3"/>
  <c r="I15" i="3"/>
  <c r="J15" i="3" s="1"/>
  <c r="H15" i="3"/>
  <c r="H14" i="3" s="1"/>
  <c r="J14" i="3" s="1"/>
  <c r="G14" i="3"/>
  <c r="I45" i="2"/>
  <c r="H22" i="2"/>
  <c r="J22" i="2" s="1"/>
  <c r="H21" i="2"/>
  <c r="J21" i="2" s="1"/>
  <c r="H20" i="2"/>
  <c r="G20" i="2"/>
  <c r="H17" i="2"/>
  <c r="H16" i="2"/>
  <c r="H15" i="2"/>
  <c r="J15" i="2" s="1"/>
  <c r="G15" i="2"/>
  <c r="H13" i="2"/>
  <c r="H12" i="2"/>
  <c r="H11" i="2"/>
  <c r="J11" i="2" s="1"/>
  <c r="J24" i="2" s="1"/>
  <c r="G11" i="2"/>
  <c r="I41" i="1"/>
  <c r="J27" i="1"/>
  <c r="J26" i="1"/>
  <c r="J25" i="1"/>
  <c r="J24" i="1"/>
  <c r="J21" i="1"/>
  <c r="J23" i="1"/>
  <c r="J22" i="1"/>
  <c r="G21" i="1"/>
  <c r="H21" i="1"/>
  <c r="H23" i="1"/>
  <c r="H22" i="1"/>
  <c r="H16" i="1"/>
  <c r="J16" i="1" s="1"/>
  <c r="J19" i="1"/>
  <c r="J18" i="1"/>
  <c r="J17" i="1"/>
  <c r="G16" i="1"/>
  <c r="I18" i="1"/>
  <c r="H18" i="1"/>
  <c r="I19" i="1"/>
  <c r="I17" i="1"/>
  <c r="J14" i="1"/>
  <c r="J13" i="1"/>
  <c r="J12" i="1"/>
  <c r="G12" i="1"/>
  <c r="H12" i="1"/>
  <c r="I13" i="1"/>
  <c r="I14" i="1"/>
  <c r="H14" i="1"/>
  <c r="H13" i="1"/>
  <c r="I20" i="3" l="1"/>
  <c r="J20" i="3" s="1"/>
  <c r="I21" i="3"/>
  <c r="J21" i="3" s="1"/>
  <c r="I19" i="3"/>
  <c r="J19" i="3" s="1"/>
  <c r="J20" i="2"/>
  <c r="J25" i="2" l="1"/>
  <c r="J23" i="2"/>
  <c r="C6" i="3"/>
  <c r="J26" i="2" l="1"/>
  <c r="H17" i="1"/>
  <c r="A32" i="2" l="1"/>
  <c r="I35" i="3" l="1"/>
  <c r="H5" i="3"/>
  <c r="C5" i="3"/>
  <c r="I4" i="2"/>
  <c r="V1" i="2"/>
  <c r="W1" i="2" s="1"/>
  <c r="Y2" i="2" l="1"/>
  <c r="X2" i="2"/>
  <c r="AA2" i="2"/>
  <c r="AI2" i="2"/>
  <c r="AI4" i="2" s="1"/>
  <c r="AH2" i="2"/>
  <c r="AG2" i="2"/>
  <c r="AD2" i="2"/>
  <c r="AF2" i="2"/>
  <c r="AE2" i="2"/>
  <c r="AC2" i="2"/>
  <c r="AB2" i="2"/>
  <c r="Z2" i="2"/>
  <c r="J1" i="2"/>
  <c r="X3" i="2" l="1"/>
  <c r="Z3" i="2"/>
  <c r="Z5" i="2" s="1"/>
  <c r="X5" i="2"/>
  <c r="X4" i="2"/>
  <c r="Y3" i="2"/>
  <c r="Y5" i="2"/>
  <c r="Y4" i="2"/>
  <c r="AI3" i="2"/>
  <c r="AG5" i="2"/>
  <c r="AG4" i="2"/>
  <c r="AH3" i="2"/>
  <c r="AG3" i="2"/>
  <c r="AH5" i="2"/>
  <c r="AH4" i="2"/>
  <c r="AC3" i="2"/>
  <c r="AC5" i="2" s="1"/>
  <c r="AA5" i="2"/>
  <c r="AA4" i="2"/>
  <c r="AB3" i="2"/>
  <c r="AA3" i="2"/>
  <c r="Z4" i="2"/>
  <c r="AB5" i="2"/>
  <c r="AB4" i="2"/>
  <c r="AC4" i="2"/>
  <c r="AE5" i="2"/>
  <c r="AE4" i="2"/>
  <c r="AF4" i="2"/>
  <c r="AF3" i="2"/>
  <c r="AF5" i="2" s="1"/>
  <c r="AD5" i="2"/>
  <c r="AD4" i="2"/>
  <c r="AE3" i="2"/>
  <c r="AD3" i="2"/>
  <c r="W6" i="2" l="1"/>
  <c r="W7" i="2" s="1"/>
  <c r="J16" i="2"/>
  <c r="I17" i="2"/>
  <c r="J17" i="2"/>
  <c r="I16" i="2"/>
  <c r="I18" i="2"/>
  <c r="J18" i="2"/>
  <c r="J12" i="2"/>
  <c r="I12" i="2"/>
  <c r="I13" i="2"/>
  <c r="J13" i="2"/>
</calcChain>
</file>

<file path=xl/sharedStrings.xml><?xml version="1.0" encoding="utf-8"?>
<sst xmlns="http://schemas.openxmlformats.org/spreadsheetml/2006/main" count="207" uniqueCount="116">
  <si>
    <t>CÔNG TY TNHH CÔNG NGHỆ CÔNG NGHIỆP PHÚ SƠN</t>
  </si>
  <si>
    <t>Địa chỉ: Lô 7 CN5, Cụm công nghiệp Ngọc Hồi, xã Ngọc Hồi, Thành phố Hà Nội</t>
  </si>
  <si>
    <t xml:space="preserve">MST: 0104113174      </t>
  </si>
  <si>
    <t>https://panelphuson.vn</t>
  </si>
  <si>
    <t>https://javta.vn</t>
  </si>
  <si>
    <t>BẢNG BÁO GIÁ SẢN PHẨM - KIÊM XÁC NHẬN ĐƠN HÀNG</t>
  </si>
  <si>
    <t>Địa chỉ:</t>
  </si>
  <si>
    <t>Người liên hệ:</t>
  </si>
  <si>
    <t>Cảm ơn Quý khách hàng đã quan tâm tới sản phẩm do Công ty TNHH Công nghệ Công nghiệp Phú Sơn sản xuất. Chúng tôi xin gửi Báo giá sản phẩm theo yêu cầu Quý khách đã cung cấp với nội dung như sau:</t>
  </si>
  <si>
    <t>TT</t>
  </si>
  <si>
    <t>Tên sản phẩm/Quy cách</t>
  </si>
  <si>
    <t>Đơn vị</t>
  </si>
  <si>
    <t>Chiều rộng</t>
  </si>
  <si>
    <t>Chiều dài</t>
  </si>
  <si>
    <t>Số tấm</t>
  </si>
  <si>
    <t>Khối lượng</t>
  </si>
  <si>
    <t>Đơn giá
(VNĐ)</t>
  </si>
  <si>
    <t>Thành tiền
(VNĐ)</t>
  </si>
  <si>
    <t>m</t>
  </si>
  <si>
    <t>A</t>
  </si>
  <si>
    <t>B</t>
  </si>
  <si>
    <t>C</t>
  </si>
  <si>
    <t>Bằng chữ:</t>
  </si>
  <si>
    <t>Ghi chú:</t>
  </si>
  <si>
    <t>1. Đơn giá đã bao gồm VAT: Tấm lợp PU, EPS, RW, GW, Vận chuyển thuế 8%; Phụ kiện tôn, inox, 1 lớp thuế 10%</t>
  </si>
  <si>
    <t>2. Dung sai kích thước chiều dài ±5mm, chiều rộng ±4mm</t>
  </si>
  <si>
    <t>3. Dung sai độ dày PU/EPS ±2mm, tấm lấy sáng ±0,2mm.</t>
  </si>
  <si>
    <r>
      <t>4. Tỷ trọng PU ±3kg/m</t>
    </r>
    <r>
      <rPr>
        <vertAlign val="superscript"/>
        <sz val="11"/>
        <color theme="1"/>
        <rFont val="Times New Roman"/>
        <family val="1"/>
      </rPr>
      <t>3</t>
    </r>
    <r>
      <rPr>
        <sz val="11"/>
        <color theme="1"/>
        <rFont val="Times New Roman"/>
        <family val="1"/>
      </rPr>
      <t>, tỷ trọng EPS ±1kg/m</t>
    </r>
    <r>
      <rPr>
        <vertAlign val="superscript"/>
        <sz val="11"/>
        <color theme="1"/>
        <rFont val="Times New Roman"/>
        <family val="1"/>
      </rPr>
      <t>3</t>
    </r>
  </si>
  <si>
    <t>5. Dung sai độ dày tôn ±0,03÷0,04mm</t>
  </si>
  <si>
    <t>Phương thức thanh toán:</t>
  </si>
  <si>
    <t>Thông tin tài khoản nhận đơn đặt hàng:</t>
  </si>
  <si>
    <t xml:space="preserve">Tên TK: Công ty TNHH Công Nghệ Công Nghiệp Phú Sơn. </t>
  </si>
  <si>
    <t>Số TK: 7999989399 mở tại ngân hàng TMCP Quân Đội - CN Hai Bà Trưng</t>
  </si>
  <si>
    <t>ĐẠI DIỆN BÊN MUA</t>
  </si>
  <si>
    <t>ĐẠI DIỆN BÊN BÁN</t>
  </si>
  <si>
    <t>Số lệnh sản xuất:</t>
  </si>
  <si>
    <t>Thời gian gửi:</t>
  </si>
  <si>
    <t>LỆNH SẢN XUẤT</t>
  </si>
  <si>
    <t>Khách hàng:</t>
  </si>
  <si>
    <t>Liên hệ:</t>
  </si>
  <si>
    <t>* NỘI DUNG YÊU CẦU SẢN XUẤT:</t>
  </si>
  <si>
    <t>** ĐIỀU KIỆN GIAO HÀNG VÀ THANH TOÁN</t>
  </si>
  <si>
    <t>1.Nghiệm thu:</t>
  </si>
  <si>
    <t>2. Ngày nghiệm thu:</t>
  </si>
  <si>
    <t>3.Vận chuyển:</t>
  </si>
  <si>
    <t>Khách hàng tự vận chuyển.</t>
  </si>
  <si>
    <t>4. Thông tin sản phẩm:</t>
  </si>
  <si>
    <t>Không in thông tin nhà máy</t>
  </si>
  <si>
    <t>5. Phiếu giao:</t>
  </si>
  <si>
    <t>6. Thời gian giao hàng:</t>
  </si>
  <si>
    <t>7. Người nhận:</t>
  </si>
  <si>
    <t>Theo Hợp đồng Kinh tế</t>
  </si>
  <si>
    <t>GIÁM ĐỐC PHÊ DUYỆT</t>
  </si>
  <si>
    <t>NGƯỜI YÊU CẦU SẢN XUẤT</t>
  </si>
  <si>
    <t>MST: 0104113174                    https://panelphuson.vn         https://javta.vn</t>
  </si>
  <si>
    <t>LỆNH SẢN XUẤT KIÊM PHIẾU XUẤT KHO</t>
  </si>
  <si>
    <t>Số:</t>
  </si>
  <si>
    <t>Thời gian giao:</t>
  </si>
  <si>
    <t>Người nhận hàng:</t>
  </si>
  <si>
    <t>Giao hàng tại:</t>
  </si>
  <si>
    <t>Nhân viên KD:</t>
  </si>
  <si>
    <t>Khách hàng nhận hàng lúc: …….... giờ …….. phút, ngày …..  tháng ….. năm 2026</t>
  </si>
  <si>
    <t>Người lập phiếu                   Người nhận hàng                     Lái xe                       Thủ kho                     BGĐ Nhà máy</t>
  </si>
  <si>
    <t xml:space="preserve"> (ký, ghi rõ họ tên)                       (ký, ghi rõ họ tên)                 (ký, ghi rõ họ tên)          (ký, ghi rõ họ tên)                 (ký, ghi rõ họ tên)</t>
  </si>
  <si>
    <t>I.</t>
  </si>
  <si>
    <t>II.</t>
  </si>
  <si>
    <t>- Lần 1: Bên mua đặt cọc sản xuất tương ứng 50% giá trị đơn hàng ngay sau khi xác nhận đơn đặt hàng.</t>
  </si>
  <si>
    <t>- Lần 2: Thanh toán 50% giá trị còn lại và lấy phát sinh (nếu có) trước khi xuất xưởng của bên bán</t>
  </si>
  <si>
    <t>D</t>
  </si>
  <si>
    <r>
      <t>m</t>
    </r>
    <r>
      <rPr>
        <vertAlign val="superscript"/>
        <sz val="12"/>
        <rFont val="Times New Roman"/>
        <family val="1"/>
      </rPr>
      <t>2</t>
    </r>
  </si>
  <si>
    <t>PHỤ KIỆN VÁCH: Không gấp mép
* Tôn nền Kamaz, dày 0,45±0,04mm, AZM50, màu theo vách</t>
  </si>
  <si>
    <r>
      <t>4. Tỷ trọng PU ±3kg/m</t>
    </r>
    <r>
      <rPr>
        <vertAlign val="superscript"/>
        <sz val="11"/>
        <rFont val="Times New Roman"/>
        <family val="1"/>
      </rPr>
      <t>3</t>
    </r>
    <r>
      <rPr>
        <sz val="11"/>
        <rFont val="Times New Roman"/>
        <family val="1"/>
      </rPr>
      <t>, tỷ trọng EPS ±1kg/m</t>
    </r>
    <r>
      <rPr>
        <vertAlign val="superscript"/>
        <sz val="11"/>
        <rFont val="Times New Roman"/>
        <family val="1"/>
      </rPr>
      <t>3</t>
    </r>
  </si>
  <si>
    <t>Tổng giá trị hàng hóa chưa VAT:</t>
  </si>
  <si>
    <t>Tiền VAT 8%</t>
  </si>
  <si>
    <t>Tiền VAT 10%</t>
  </si>
  <si>
    <t>Tổng giá trị thanh toán, đã bao gồm VAT: D = (A)+(B)+(C)</t>
  </si>
  <si>
    <t>Giống bên báo giá</t>
  </si>
  <si>
    <t>8. Địa điểm:</t>
  </si>
  <si>
    <t>9.Thanh toán:</t>
  </si>
  <si>
    <t>10. Ghi chú:</t>
  </si>
  <si>
    <t>Cộng nhóm I - chưa VAT 8%</t>
  </si>
  <si>
    <t>Cộng nhóm II - chưa VAT 10%</t>
  </si>
  <si>
    <t>Hao phí đơn hàng dưới 100m2</t>
  </si>
  <si>
    <t>III.</t>
  </si>
  <si>
    <t>Tấm số 1</t>
  </si>
  <si>
    <t>Tấm số 2</t>
  </si>
  <si>
    <t>/PS</t>
  </si>
  <si>
    <t xml:space="preserve">NVKD: </t>
  </si>
  <si>
    <t>Công ty CP Giải pháp Cách nhiệt Việt Nam</t>
  </si>
  <si>
    <t>Kính gửi: Công ty CP Giải pháp Cách nhiệt Việt Nam</t>
  </si>
  <si>
    <t>Địa chỉ: Lô 7 CN6 - Cụm công nghiệp Ngọc Hồi</t>
  </si>
  <si>
    <t xml:space="preserve"> Mr Thành - 0982476556</t>
  </si>
  <si>
    <t>Số:090626.01        Ngày: 09/06/26</t>
  </si>
  <si>
    <t>Hiệu lực đến: 14/06/2026</t>
  </si>
  <si>
    <t>Mr Long - 0978349917</t>
  </si>
  <si>
    <r>
      <rPr>
        <b/>
        <sz val="12"/>
        <color theme="1"/>
        <rFont val="Times New Roman"/>
        <family val="1"/>
      </rPr>
      <t xml:space="preserve">PANEL PUR VÁCH TRONG (TÔN + PU + TÔN): </t>
    </r>
    <r>
      <rPr>
        <sz val="12"/>
        <color theme="1"/>
        <rFont val="Times New Roman"/>
        <family val="1"/>
      </rPr>
      <t xml:space="preserve">
* Mặt thứ nhất: Tôn nền Kamazn, dày 0,50±0,04mm, AZM100 màu KM W02.
* Lớp giữa: PUR dày 100±2mm, tỷ trọng 45±3kg/m</t>
    </r>
    <r>
      <rPr>
        <vertAlign val="superscript"/>
        <sz val="12"/>
        <color theme="1"/>
        <rFont val="Times New Roman"/>
        <family val="1"/>
      </rPr>
      <t>3</t>
    </r>
    <r>
      <rPr>
        <sz val="12"/>
        <color theme="1"/>
        <rFont val="Times New Roman"/>
        <family val="1"/>
      </rPr>
      <t>. 
* Mặt thứ hai: Tôn nền Kamazn, dày 0,40±0,04mm, AZM50 màu KM W01.
* Hai mặt tôn phẳng hoặc cán gân tăng cứng. Khổ hiệu dụng/khổ sản phẩm: 1.130/1.152 mm. Có dán nilong chống trầy xước. Tính m</t>
    </r>
    <r>
      <rPr>
        <vertAlign val="superscript"/>
        <sz val="12"/>
        <color theme="1"/>
        <rFont val="Times New Roman"/>
        <family val="1"/>
      </rPr>
      <t>2</t>
    </r>
    <r>
      <rPr>
        <sz val="12"/>
        <color theme="1"/>
        <rFont val="Times New Roman"/>
        <family val="1"/>
      </rPr>
      <t xml:space="preserve"> = chiều dài(m) x số tấm x 1,13</t>
    </r>
  </si>
  <si>
    <r>
      <t xml:space="preserve">TẤM LỢP PU 5 SÓNG (TÔN + PU + TÔN):
</t>
    </r>
    <r>
      <rPr>
        <sz val="12"/>
        <rFont val="Times New Roman"/>
        <family val="1"/>
      </rPr>
      <t>* Mặt trên: Tôn nền Kamazn, dày 0,45±0,04mm, AZM50, màu KM W02 
* Lớp giữa: PU chống cháy lan B2, dày 50±2mm, tỷ trọng 35±3kg/m3 
* Mặt dưới: Tôn nền liên doanh dày 0,23±0,04mm, có hèm chống hở, màu trắng. 
* Chiều cao sóng dương 32±2mm. Khổ hiệu dụng/khổ sản phẩm: 1.000/1.080mm. Tính m2 = chiều dài(m) x số tấm x 1,08</t>
    </r>
  </si>
  <si>
    <t>Khổ 400mm</t>
  </si>
  <si>
    <t>Khổ 600mm</t>
  </si>
  <si>
    <t>Một trăm mười bảy triệu, không trăm ba mươi tám nghìn, một trăm bảy mươi đồng ./.</t>
  </si>
  <si>
    <t>6. này có chỗ xổ để chọn: Giá trên chưa có bao gồm vận chuyển HOẶC Giá trên đã bao gồm vận chuyển</t>
  </si>
  <si>
    <t>6. Giá trên chưa bao gồm vận chuyển.</t>
  </si>
  <si>
    <t>Khách chốt mua hàng, chuyển san LSX nội bộ</t>
  </si>
  <si>
    <t>Lấy số từ hệ thống kế toán</t>
  </si>
  <si>
    <t>Ví dụ 6508PS</t>
  </si>
  <si>
    <t>NVKD: Mr Long</t>
  </si>
  <si>
    <r>
      <rPr>
        <b/>
        <sz val="12"/>
        <color theme="1"/>
        <rFont val="Times New Roman"/>
        <family val="1"/>
      </rPr>
      <t>Điện thoại:</t>
    </r>
    <r>
      <rPr>
        <sz val="12"/>
        <color theme="1"/>
        <rFont val="Times New Roman"/>
        <family val="1"/>
      </rPr>
      <t xml:space="preserve"> 0978349917</t>
    </r>
  </si>
  <si>
    <t>tại Nhà máy Phú Sơn</t>
  </si>
  <si>
    <t>Phiếu xuất kho của Khách hàng.</t>
  </si>
  <si>
    <t>Hoặc tên + Số điện thoại của người trên công trình</t>
  </si>
  <si>
    <t>Mr Thuyết - 0955123654</t>
  </si>
  <si>
    <t>Lô 4 CN6 - Khu công nghiệp Sông Công II - Thái Nguyên</t>
  </si>
  <si>
    <t>Lái xe chú ý, để khách kiểm tra hàng trên xe, đợi Kinh doanh báo mới cho hạ hàng.</t>
  </si>
  <si>
    <r>
      <rPr>
        <b/>
        <sz val="12"/>
        <color theme="1"/>
        <rFont val="Times New Roman"/>
        <family val="1"/>
      </rPr>
      <t>TẤM LỢP PU 5 SÓNG (TÔN + PU + TÔN):</t>
    </r>
    <r>
      <rPr>
        <sz val="12"/>
        <color theme="1"/>
        <rFont val="Times New Roman"/>
        <family val="1"/>
      </rPr>
      <t xml:space="preserve">
</t>
    </r>
    <r>
      <rPr>
        <sz val="12"/>
        <rFont val="Times New Roman"/>
        <family val="1"/>
      </rPr>
      <t>* Mặt trên: Tôn nền Kamazn, dày 0,45±0,04mm, AZM50, màu KM W02 
* Lớp giữa: PU chống cháy lan B2, dày 50±2mm, tỷ trọng 35±3kg/m3 
* Mặt dưới: Tôn nền liên doanh dày 0,23±0,04mm, có hèm chống hở, màu trắng. 
* Chiều cao sóng dương 32±2mm. Khổ hiệu dụng/khổ sản phẩm: 1.000/1.080mm. Tính m2 = chiều dài(m) x số tấm x 1,08</t>
    </r>
  </si>
  <si>
    <r>
      <rPr>
        <b/>
        <sz val="12"/>
        <color theme="1"/>
        <rFont val="Times New Roman"/>
        <family val="1"/>
      </rPr>
      <t xml:space="preserve">PHỤ KIỆN VÁCH: </t>
    </r>
    <r>
      <rPr>
        <sz val="12"/>
        <color theme="1"/>
        <rFont val="Times New Roman"/>
        <family val="1"/>
      </rPr>
      <t>Không gấp mép
* Tôn nền Kamaz, dày 0,45±0,04mm, AZM50, màu theo vách</t>
    </r>
  </si>
  <si>
    <t>Lô 7 CN6 - Cụm công nghiệp Ngọc Hồi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</si>
</sst>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0" x14ac:knownFonts="1">
    <font>
      <sz val="10"/>
      <color theme="1"/>
      <name val="Arial"/>
      <family val="2"/>
    </font>
    <font>
      <sz val="11"/>
      <color theme="1"/>
      <name val="Times New Roman"/>
      <family val="1"/>
    </font>
    <font>
      <sz val="11"/>
      <color theme="0"/>
      <name val="Times New Roman"/>
      <family val="1"/>
    </font>
    <font>
      <b/>
      <sz val="12"/>
      <color theme="1"/>
      <name val="Times New Roman"/>
      <family val="1"/>
    </font>
    <font>
      <sz val="12"/>
      <color theme="1"/>
      <name val="Times New Roman"/>
      <family val="1"/>
    </font>
    <font>
      <sz val="9"/>
      <color theme="1"/>
      <name val="Arial"/>
      <family val="2"/>
    </font>
    <font>
      <sz val="12"/>
      <name val="Times New Roman"/>
      <family val="1"/>
    </font>
    <font>
      <sz val="10"/>
      <name val="Arial"/>
      <family val="2"/>
    </font>
    <font>
      <b/>
      <sz val="15"/>
      <color rgb="FF0B9649"/>
      <name val="Times New Roman"/>
      <family val="1"/>
    </font>
    <font>
      <sz val="12"/>
      <color theme="1"/>
      <name val="Arial"/>
      <family val="2"/>
    </font>
    <font>
      <i/>
      <sz val="12"/>
      <color theme="1"/>
      <name val="Times New Roman"/>
      <family val="1"/>
    </font>
    <font>
      <b/>
      <u/>
      <sz val="12"/>
      <color theme="1"/>
      <name val="Times New Roman"/>
      <family val="1"/>
    </font>
    <font>
      <sz val="12"/>
      <color theme="0"/>
      <name val="Times New Roman"/>
      <family val="1"/>
    </font>
    <font>
      <sz val="11"/>
      <color rgb="FFFF0000"/>
      <name val="Times New Roman"/>
      <family val="1"/>
    </font>
    <font>
      <vertAlign val="superscript"/>
      <sz val="11"/>
      <color theme="1"/>
      <name val="Times New Roman"/>
      <family val="1"/>
    </font>
    <font>
      <i/>
      <sz val="12"/>
      <name val="Times New Roman"/>
      <family val="1"/>
    </font>
    <font>
      <b/>
      <sz val="14"/>
      <name val="Times New Roman"/>
      <family val="1"/>
    </font>
    <font>
      <b/>
      <sz val="12"/>
      <name val="Times New Roman"/>
      <family val="1"/>
    </font>
    <font>
      <b/>
      <sz val="18"/>
      <color theme="1"/>
      <name val="Times New Roman"/>
      <family val="1"/>
    </font>
    <font>
      <b/>
      <sz val="15"/>
      <color theme="1"/>
      <name val="Times New Roman"/>
      <family val="1"/>
    </font>
    <font>
      <sz val="11"/>
      <name val="Times New Roman"/>
      <family val="1"/>
    </font>
    <font>
      <b/>
      <sz val="11"/>
      <color theme="1"/>
      <name val="Times New Roman"/>
      <family val="1"/>
    </font>
    <font>
      <i/>
      <sz val="10"/>
      <color theme="1"/>
      <name val="Times New Roman"/>
      <family val="1"/>
    </font>
    <font>
      <b/>
      <sz val="12"/>
      <color rgb="FF0B9649"/>
      <name val="Times New Roman"/>
      <family val="1"/>
    </font>
    <font>
      <b/>
      <sz val="15"/>
      <color theme="0"/>
      <name val="Times New Roman"/>
      <family val="1"/>
    </font>
    <font>
      <vertAlign val="superscript"/>
      <sz val="12"/>
      <name val="Times New Roman"/>
      <family val="1"/>
    </font>
    <font>
      <b/>
      <u/>
      <sz val="12"/>
      <name val="Times New Roman"/>
      <family val="1"/>
    </font>
    <font>
      <vertAlign val="superscript"/>
      <sz val="11"/>
      <name val="Times New Roman"/>
      <family val="1"/>
    </font>
    <font>
      <sz val="12"/>
      <color rgb="FFFF0000"/>
      <name val="Times New Roman"/>
      <family val="1"/>
    </font>
    <font>
      <vertAlign val="superscript"/>
      <sz val="12"/>
      <color theme="1"/>
      <name val="Times New Roman"/>
      <family val="1"/>
    </font>
  </fonts>
  <fills count="5">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96">
    <xf numFmtId="0" fontId="0" fillId="0" borderId="0" xfId="0"/>
    <xf numFmtId="0" fontId="1" fillId="0" borderId="0" xfId="0" applyFont="1" applyAlignment="1">
      <alignment horizontal="center" vertical="center"/>
    </xf>
    <xf numFmtId="2" fontId="1" fillId="0" borderId="0" xfId="0" applyNumberFormat="1" applyFont="1" applyAlignment="1">
      <alignment horizontal="center" vertical="center"/>
    </xf>
    <xf numFmtId="164" fontId="1" fillId="0" borderId="0" xfId="0" applyNumberFormat="1" applyFont="1" applyAlignment="1">
      <alignment horizontal="center" vertical="center"/>
    </xf>
    <xf numFmtId="4" fontId="1" fillId="0" borderId="0" xfId="0" applyNumberFormat="1" applyFont="1" applyAlignment="1">
      <alignment horizontal="center" vertical="center"/>
    </xf>
    <xf numFmtId="3" fontId="1" fillId="0" borderId="0" xfId="0" applyNumberFormat="1" applyFont="1" applyAlignment="1">
      <alignment horizontal="center" vertical="center"/>
    </xf>
    <xf numFmtId="0" fontId="2" fillId="0" borderId="0" xfId="0" applyFont="1" applyAlignment="1">
      <alignment horizontal="left" vertical="center"/>
    </xf>
    <xf numFmtId="0" fontId="4" fillId="0" borderId="0" xfId="0" applyFont="1" applyAlignment="1">
      <alignment horizontal="center" vertical="center"/>
    </xf>
    <xf numFmtId="3" fontId="5" fillId="2" borderId="1" xfId="0" applyNumberFormat="1" applyFont="1" applyFill="1" applyBorder="1" applyAlignment="1">
      <alignment horizontal="center"/>
    </xf>
    <xf numFmtId="0" fontId="5" fillId="2" borderId="1" xfId="0" applyFont="1" applyFill="1" applyBorder="1" applyAlignment="1">
      <alignment horizontal="center"/>
    </xf>
    <xf numFmtId="165" fontId="1" fillId="0" borderId="0" xfId="0" applyNumberFormat="1" applyFont="1" applyAlignment="1">
      <alignment horizontal="center"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0" fontId="6" fillId="0" borderId="0" xfId="0" applyFont="1" applyAlignment="1">
      <alignment horizontal="left" vertical="center"/>
    </xf>
    <xf numFmtId="0" fontId="7" fillId="0" borderId="0" xfId="0" applyFont="1"/>
    <xf numFmtId="4" fontId="4" fillId="0" borderId="0" xfId="0" applyNumberFormat="1" applyFont="1" applyAlignment="1">
      <alignment horizontal="left" vertical="center"/>
    </xf>
    <xf numFmtId="0" fontId="10" fillId="0" borderId="0" xfId="0" applyFont="1" applyAlignment="1">
      <alignment horizontal="left" vertical="center"/>
    </xf>
    <xf numFmtId="2" fontId="4" fillId="0" borderId="0" xfId="0" applyNumberFormat="1" applyFont="1" applyAlignment="1">
      <alignment horizontal="center" vertical="center"/>
    </xf>
    <xf numFmtId="164" fontId="4" fillId="0" borderId="0" xfId="0" applyNumberFormat="1" applyFont="1" applyAlignment="1">
      <alignment horizontal="center" vertical="center"/>
    </xf>
    <xf numFmtId="4" fontId="4" fillId="0" borderId="0" xfId="0" applyNumberFormat="1" applyFont="1" applyAlignment="1">
      <alignment horizontal="center" vertical="center"/>
    </xf>
    <xf numFmtId="3" fontId="4" fillId="0" borderId="0" xfId="0" applyNumberFormat="1" applyFont="1" applyAlignment="1">
      <alignment horizontal="center" vertical="center"/>
    </xf>
    <xf numFmtId="3" fontId="12" fillId="0" borderId="0" xfId="0" applyNumberFormat="1" applyFont="1" applyAlignment="1">
      <alignment horizontal="center" vertical="center"/>
    </xf>
    <xf numFmtId="0" fontId="13" fillId="0" borderId="0" xfId="0" applyFont="1" applyAlignment="1">
      <alignment horizontal="left"/>
    </xf>
    <xf numFmtId="0" fontId="1" fillId="0" borderId="0" xfId="0" applyFont="1" applyAlignment="1">
      <alignment horizontal="left"/>
    </xf>
    <xf numFmtId="2" fontId="1" fillId="0" borderId="0" xfId="0" applyNumberFormat="1" applyFont="1" applyAlignment="1">
      <alignment horizontal="left"/>
    </xf>
    <xf numFmtId="164" fontId="1" fillId="0" borderId="0" xfId="0" applyNumberFormat="1" applyFont="1" applyAlignment="1">
      <alignment horizontal="left"/>
    </xf>
    <xf numFmtId="4" fontId="1" fillId="0" borderId="0" xfId="0" applyNumberFormat="1" applyFont="1" applyAlignment="1">
      <alignment horizontal="left"/>
    </xf>
    <xf numFmtId="0" fontId="3" fillId="0" borderId="0" xfId="0" applyFont="1" applyAlignment="1">
      <alignment horizontal="center" vertical="center"/>
    </xf>
    <xf numFmtId="4" fontId="3" fillId="0" borderId="0" xfId="0" applyNumberFormat="1" applyFont="1" applyAlignment="1">
      <alignment horizontal="center" vertical="center"/>
    </xf>
    <xf numFmtId="0" fontId="3" fillId="0" borderId="0" xfId="0" applyFont="1" applyAlignment="1">
      <alignment horizontal="right" vertical="center"/>
    </xf>
    <xf numFmtId="0" fontId="16" fillId="0" borderId="0" xfId="0" quotePrefix="1" applyFont="1" applyAlignment="1">
      <alignment horizontal="center" vertical="center"/>
    </xf>
    <xf numFmtId="2" fontId="16" fillId="0" borderId="0" xfId="0" applyNumberFormat="1" applyFont="1" applyAlignment="1">
      <alignment horizontal="left" vertical="center"/>
    </xf>
    <xf numFmtId="0" fontId="6" fillId="0" borderId="0" xfId="0" applyFont="1" applyAlignment="1">
      <alignment horizontal="center" vertical="center"/>
    </xf>
    <xf numFmtId="4" fontId="17" fillId="0" borderId="0" xfId="0" applyNumberFormat="1" applyFont="1" applyAlignment="1">
      <alignment horizontal="right" vertical="center"/>
    </xf>
    <xf numFmtId="0" fontId="9" fillId="2" borderId="1" xfId="0" applyFont="1" applyFill="1" applyBorder="1" applyAlignment="1">
      <alignment horizontal="center"/>
    </xf>
    <xf numFmtId="0" fontId="18" fillId="0" borderId="0" xfId="0" applyFont="1" applyAlignment="1">
      <alignment vertical="center"/>
    </xf>
    <xf numFmtId="0" fontId="5" fillId="2" borderId="7" xfId="0" applyFont="1" applyFill="1" applyBorder="1" applyAlignment="1">
      <alignment horizontal="center"/>
    </xf>
    <xf numFmtId="0" fontId="3" fillId="0" borderId="0" xfId="0" applyFont="1" applyAlignment="1">
      <alignment horizontal="left" vertical="center"/>
    </xf>
    <xf numFmtId="3" fontId="4" fillId="0" borderId="0" xfId="0" applyNumberFormat="1" applyFont="1" applyAlignment="1">
      <alignment horizontal="left" vertical="center"/>
    </xf>
    <xf numFmtId="0" fontId="9" fillId="2" borderId="0" xfId="0" applyFont="1" applyFill="1" applyAlignment="1">
      <alignment horizontal="center" vertical="center"/>
    </xf>
    <xf numFmtId="0" fontId="9" fillId="2" borderId="0" xfId="0" applyFont="1" applyFill="1" applyAlignment="1">
      <alignment horizontal="left" vertical="center"/>
    </xf>
    <xf numFmtId="165" fontId="4" fillId="0" borderId="0" xfId="0" quotePrefix="1" applyNumberFormat="1" applyFont="1" applyAlignment="1">
      <alignment vertical="center" wrapText="1"/>
    </xf>
    <xf numFmtId="0" fontId="4" fillId="0" borderId="0" xfId="0" applyFont="1" applyAlignment="1">
      <alignment vertical="center"/>
    </xf>
    <xf numFmtId="0" fontId="0" fillId="0" borderId="0" xfId="0" applyAlignment="1">
      <alignment vertical="center"/>
    </xf>
    <xf numFmtId="0" fontId="5" fillId="2" borderId="0" xfId="0" applyFont="1" applyFill="1" applyAlignment="1">
      <alignment horizontal="left" vertical="center"/>
    </xf>
    <xf numFmtId="2" fontId="4" fillId="0" borderId="0" xfId="0" applyNumberFormat="1" applyFont="1" applyAlignment="1">
      <alignment horizontal="left" vertical="center"/>
    </xf>
    <xf numFmtId="0" fontId="1" fillId="0" borderId="0" xfId="0" applyFont="1" applyAlignment="1">
      <alignment horizontal="left" vertical="center"/>
    </xf>
    <xf numFmtId="2" fontId="3" fillId="0" borderId="0" xfId="0" applyNumberFormat="1" applyFont="1" applyAlignment="1">
      <alignment horizontal="center" vertical="center"/>
    </xf>
    <xf numFmtId="164" fontId="3" fillId="0" borderId="0" xfId="0" applyNumberFormat="1" applyFont="1" applyAlignment="1">
      <alignment horizontal="center" vertical="center"/>
    </xf>
    <xf numFmtId="3" fontId="3" fillId="0" borderId="0" xfId="0" applyNumberFormat="1" applyFont="1" applyAlignment="1">
      <alignment horizontal="center" vertical="center"/>
    </xf>
    <xf numFmtId="4" fontId="10" fillId="0" borderId="0" xfId="0" applyNumberFormat="1" applyFont="1" applyAlignment="1">
      <alignment horizontal="center" vertical="center"/>
    </xf>
    <xf numFmtId="165" fontId="20" fillId="0" borderId="0" xfId="0" applyNumberFormat="1" applyFont="1" applyAlignment="1">
      <alignment horizontal="center" vertical="center"/>
    </xf>
    <xf numFmtId="4" fontId="3" fillId="0" borderId="0" xfId="0" applyNumberFormat="1" applyFont="1" applyAlignment="1">
      <alignment horizontal="left" vertical="center"/>
    </xf>
    <xf numFmtId="165" fontId="3" fillId="0" borderId="0" xfId="0" applyNumberFormat="1" applyFont="1" applyAlignment="1">
      <alignment vertical="center"/>
    </xf>
    <xf numFmtId="165" fontId="4" fillId="0" borderId="0" xfId="0" applyNumberFormat="1" applyFont="1" applyAlignment="1">
      <alignment vertical="center"/>
    </xf>
    <xf numFmtId="165" fontId="4" fillId="0" borderId="0" xfId="0" quotePrefix="1" applyNumberFormat="1" applyFont="1" applyAlignment="1">
      <alignment vertical="center"/>
    </xf>
    <xf numFmtId="165" fontId="4" fillId="0" borderId="0" xfId="0" applyNumberFormat="1" applyFont="1" applyAlignment="1">
      <alignment vertical="center" wrapText="1"/>
    </xf>
    <xf numFmtId="0" fontId="10" fillId="0" borderId="0" xfId="0" applyFont="1" applyAlignment="1">
      <alignment horizontal="center" vertical="center"/>
    </xf>
    <xf numFmtId="2" fontId="10" fillId="0" borderId="0" xfId="0" applyNumberFormat="1" applyFont="1" applyAlignment="1">
      <alignment horizontal="center" vertical="center"/>
    </xf>
    <xf numFmtId="164" fontId="10" fillId="0" borderId="0" xfId="0" applyNumberFormat="1" applyFont="1" applyAlignment="1">
      <alignment horizontal="center" vertical="center"/>
    </xf>
    <xf numFmtId="0" fontId="21" fillId="0" borderId="0" xfId="0" applyFont="1" applyAlignment="1">
      <alignment horizontal="left"/>
    </xf>
    <xf numFmtId="0" fontId="1" fillId="0" borderId="0" xfId="0" applyFont="1" applyAlignment="1">
      <alignment horizontal="center"/>
    </xf>
    <xf numFmtId="2" fontId="1" fillId="0" borderId="0" xfId="0" applyNumberFormat="1" applyFont="1" applyAlignment="1">
      <alignment horizontal="center"/>
    </xf>
    <xf numFmtId="164" fontId="1" fillId="0" borderId="0" xfId="0" applyNumberFormat="1" applyFont="1" applyAlignment="1">
      <alignment horizontal="center"/>
    </xf>
    <xf numFmtId="4" fontId="1" fillId="0" borderId="0" xfId="0" applyNumberFormat="1" applyFont="1" applyAlignment="1">
      <alignment horizontal="center"/>
    </xf>
    <xf numFmtId="3" fontId="1" fillId="0" borderId="0" xfId="0" applyNumberFormat="1" applyFont="1" applyAlignment="1">
      <alignment horizontal="center"/>
    </xf>
    <xf numFmtId="0" fontId="22" fillId="0" borderId="0" xfId="0" applyFont="1" applyAlignment="1">
      <alignment horizontal="left" vertical="top"/>
    </xf>
    <xf numFmtId="0" fontId="22" fillId="0" borderId="0" xfId="0" applyFont="1" applyAlignment="1">
      <alignment horizontal="center" vertical="top"/>
    </xf>
    <xf numFmtId="2" fontId="22" fillId="0" borderId="0" xfId="0" applyNumberFormat="1" applyFont="1" applyAlignment="1">
      <alignment horizontal="center" vertical="top"/>
    </xf>
    <xf numFmtId="164" fontId="22" fillId="0" borderId="0" xfId="0" applyNumberFormat="1" applyFont="1" applyAlignment="1">
      <alignment horizontal="center" vertical="top"/>
    </xf>
    <xf numFmtId="4" fontId="22" fillId="0" borderId="0" xfId="0" applyNumberFormat="1" applyFont="1" applyAlignment="1">
      <alignment horizontal="center" vertical="top"/>
    </xf>
    <xf numFmtId="3" fontId="22" fillId="0" borderId="0" xfId="0" applyNumberFormat="1" applyFont="1" applyAlignment="1">
      <alignment horizontal="center" vertical="top"/>
    </xf>
    <xf numFmtId="0" fontId="1" fillId="0" borderId="0" xfId="0" applyFont="1" applyFill="1" applyAlignment="1">
      <alignment horizontal="center" vertical="center"/>
    </xf>
    <xf numFmtId="2" fontId="1" fillId="0" borderId="0" xfId="0" applyNumberFormat="1" applyFont="1" applyFill="1" applyAlignment="1">
      <alignment horizontal="center" vertical="center"/>
    </xf>
    <xf numFmtId="164" fontId="1" fillId="0" borderId="0" xfId="0" applyNumberFormat="1" applyFont="1" applyFill="1" applyAlignment="1">
      <alignment horizontal="center" vertical="center"/>
    </xf>
    <xf numFmtId="4" fontId="1" fillId="0" borderId="0" xfId="0" applyNumberFormat="1" applyFont="1" applyFill="1" applyAlignment="1">
      <alignment horizontal="center" vertical="center"/>
    </xf>
    <xf numFmtId="3" fontId="1" fillId="0" borderId="0" xfId="0" applyNumberFormat="1" applyFont="1" applyFill="1" applyAlignment="1">
      <alignment horizontal="center" vertical="center"/>
    </xf>
    <xf numFmtId="0" fontId="4" fillId="0" borderId="0" xfId="0" applyFont="1" applyFill="1" applyAlignment="1">
      <alignment horizontal="center" vertical="center"/>
    </xf>
    <xf numFmtId="165" fontId="1" fillId="0" borderId="0" xfId="0" applyNumberFormat="1" applyFont="1" applyFill="1" applyAlignment="1">
      <alignment horizontal="center" vertical="center"/>
    </xf>
    <xf numFmtId="0" fontId="4" fillId="0" borderId="0" xfId="0" applyFont="1" applyFill="1" applyAlignment="1">
      <alignment horizontal="left" vertical="center"/>
    </xf>
    <xf numFmtId="164" fontId="4" fillId="0" borderId="0" xfId="0" applyNumberFormat="1" applyFont="1" applyFill="1" applyAlignment="1">
      <alignment horizontal="left" vertical="center"/>
    </xf>
    <xf numFmtId="0" fontId="6" fillId="0" borderId="0" xfId="0" applyFont="1" applyFill="1" applyAlignment="1">
      <alignment horizontal="left" vertical="center"/>
    </xf>
    <xf numFmtId="164" fontId="6" fillId="0" borderId="0" xfId="0" applyNumberFormat="1" applyFont="1" applyFill="1" applyAlignment="1">
      <alignment horizontal="left" vertical="center"/>
    </xf>
    <xf numFmtId="0" fontId="7" fillId="0" borderId="0" xfId="0" applyFont="1" applyFill="1"/>
    <xf numFmtId="165" fontId="4" fillId="0" borderId="0" xfId="0" applyNumberFormat="1" applyFont="1" applyFill="1" applyAlignment="1">
      <alignment horizontal="left" vertical="center"/>
    </xf>
    <xf numFmtId="4" fontId="4" fillId="0" borderId="0" xfId="0" applyNumberFormat="1" applyFont="1" applyFill="1" applyAlignment="1">
      <alignment horizontal="left" vertical="center"/>
    </xf>
    <xf numFmtId="165" fontId="6" fillId="0" borderId="0" xfId="0" applyNumberFormat="1" applyFont="1" applyFill="1" applyAlignment="1">
      <alignment vertical="center" wrapText="1"/>
    </xf>
    <xf numFmtId="165" fontId="4" fillId="0" borderId="0" xfId="0" applyNumberFormat="1" applyFont="1" applyFill="1" applyAlignment="1">
      <alignment horizontal="center" vertical="center"/>
    </xf>
    <xf numFmtId="165" fontId="6" fillId="0" borderId="0" xfId="0" quotePrefix="1" applyNumberFormat="1" applyFont="1" applyFill="1" applyAlignment="1">
      <alignment vertical="center" wrapText="1"/>
    </xf>
    <xf numFmtId="14" fontId="4" fillId="0" borderId="0" xfId="0" applyNumberFormat="1" applyFont="1" applyFill="1" applyAlignment="1">
      <alignment vertical="center" wrapText="1"/>
    </xf>
    <xf numFmtId="0" fontId="1" fillId="0" borderId="0" xfId="0" applyFont="1" applyFill="1" applyAlignment="1">
      <alignment horizontal="left"/>
    </xf>
    <xf numFmtId="0" fontId="3" fillId="0" borderId="0" xfId="0" applyFont="1" applyFill="1" applyAlignment="1">
      <alignment horizontal="center" vertical="center"/>
    </xf>
    <xf numFmtId="0" fontId="3" fillId="0" borderId="0" xfId="0" applyFont="1" applyFill="1" applyAlignment="1">
      <alignment vertical="center"/>
    </xf>
    <xf numFmtId="4" fontId="3" fillId="0" borderId="0" xfId="0" applyNumberFormat="1" applyFont="1" applyFill="1" applyAlignment="1">
      <alignment vertical="center"/>
    </xf>
    <xf numFmtId="4" fontId="3" fillId="0" borderId="0" xfId="0" applyNumberFormat="1" applyFont="1" applyFill="1" applyAlignment="1">
      <alignment horizontal="center" vertical="center"/>
    </xf>
    <xf numFmtId="4" fontId="15" fillId="0" borderId="0" xfId="0" applyNumberFormat="1" applyFont="1" applyFill="1" applyAlignment="1">
      <alignment vertical="center"/>
    </xf>
    <xf numFmtId="4" fontId="15" fillId="0" borderId="0" xfId="0" applyNumberFormat="1" applyFont="1" applyFill="1" applyAlignment="1">
      <alignment horizontal="center" vertical="center"/>
    </xf>
    <xf numFmtId="165" fontId="8" fillId="0" borderId="0" xfId="0" applyNumberFormat="1" applyFont="1" applyFill="1" applyAlignment="1">
      <alignment horizontal="center"/>
    </xf>
    <xf numFmtId="165" fontId="8" fillId="0" borderId="0" xfId="0" applyNumberFormat="1" applyFont="1" applyFill="1" applyAlignment="1"/>
    <xf numFmtId="165" fontId="24" fillId="0" borderId="0" xfId="0" applyNumberFormat="1" applyFont="1" applyFill="1" applyAlignment="1"/>
    <xf numFmtId="0" fontId="17"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2" fontId="17" fillId="0" borderId="1" xfId="0" applyNumberFormat="1" applyFont="1" applyFill="1" applyBorder="1" applyAlignment="1">
      <alignment horizontal="center" vertical="center" wrapText="1"/>
    </xf>
    <xf numFmtId="164" fontId="17" fillId="0" borderId="1" xfId="0" applyNumberFormat="1" applyFont="1" applyFill="1" applyBorder="1" applyAlignment="1">
      <alignment horizontal="center" vertical="center" wrapText="1"/>
    </xf>
    <xf numFmtId="4" fontId="17" fillId="0" borderId="1" xfId="0" applyNumberFormat="1" applyFont="1" applyFill="1" applyBorder="1" applyAlignment="1">
      <alignment horizontal="center" vertical="center" wrapText="1"/>
    </xf>
    <xf numFmtId="3" fontId="17" fillId="0" borderId="1" xfId="0" applyNumberFormat="1" applyFont="1" applyFill="1" applyBorder="1" applyAlignment="1">
      <alignment horizontal="center" vertical="center" wrapText="1"/>
    </xf>
    <xf numFmtId="2" fontId="17" fillId="0" borderId="1" xfId="0" applyNumberFormat="1" applyFont="1" applyFill="1" applyBorder="1" applyAlignment="1">
      <alignment horizontal="center" vertical="center"/>
    </xf>
    <xf numFmtId="164" fontId="17" fillId="0" borderId="1" xfId="0" applyNumberFormat="1" applyFont="1" applyFill="1" applyBorder="1" applyAlignment="1">
      <alignment horizontal="center" vertical="center"/>
    </xf>
    <xf numFmtId="4" fontId="17" fillId="0" borderId="1" xfId="0" applyNumberFormat="1" applyFont="1" applyFill="1" applyBorder="1" applyAlignment="1">
      <alignment horizontal="right" vertical="center"/>
    </xf>
    <xf numFmtId="3" fontId="17"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2" fontId="6" fillId="0" borderId="1" xfId="0" applyNumberFormat="1" applyFont="1" applyFill="1" applyBorder="1" applyAlignment="1">
      <alignment horizontal="center" vertical="center"/>
    </xf>
    <xf numFmtId="164" fontId="6" fillId="0" borderId="1" xfId="0" applyNumberFormat="1" applyFont="1" applyFill="1" applyBorder="1" applyAlignment="1">
      <alignment horizontal="center" vertical="center"/>
    </xf>
    <xf numFmtId="4" fontId="6" fillId="0" borderId="1" xfId="0" applyNumberFormat="1" applyFont="1" applyFill="1" applyBorder="1" applyAlignment="1">
      <alignment horizontal="right" vertical="center"/>
    </xf>
    <xf numFmtId="3" fontId="6" fillId="0" borderId="1" xfId="0" applyNumberFormat="1" applyFont="1" applyFill="1" applyBorder="1" applyAlignment="1">
      <alignment horizontal="center" vertical="center"/>
    </xf>
    <xf numFmtId="4" fontId="17" fillId="0" borderId="1" xfId="0" applyNumberFormat="1" applyFont="1" applyFill="1" applyBorder="1" applyAlignment="1">
      <alignment horizontal="center" vertical="center"/>
    </xf>
    <xf numFmtId="4" fontId="6" fillId="0" borderId="1" xfId="0" applyNumberFormat="1" applyFont="1" applyFill="1" applyBorder="1" applyAlignment="1">
      <alignment horizontal="center" vertical="center"/>
    </xf>
    <xf numFmtId="3" fontId="17" fillId="0" borderId="5" xfId="0" applyNumberFormat="1" applyFont="1" applyFill="1" applyBorder="1" applyAlignment="1">
      <alignment horizontal="center" vertical="center"/>
    </xf>
    <xf numFmtId="0" fontId="15" fillId="0" borderId="6" xfId="0" applyFont="1" applyFill="1" applyBorder="1" applyAlignment="1">
      <alignment vertical="center"/>
    </xf>
    <xf numFmtId="164" fontId="15" fillId="0" borderId="6" xfId="0" applyNumberFormat="1" applyFont="1" applyFill="1" applyBorder="1" applyAlignment="1">
      <alignment vertical="center"/>
    </xf>
    <xf numFmtId="0" fontId="15" fillId="0" borderId="0" xfId="0" applyFont="1" applyFill="1" applyAlignment="1">
      <alignment vertical="center"/>
    </xf>
    <xf numFmtId="0" fontId="6" fillId="0" borderId="0" xfId="0" applyFont="1" applyFill="1" applyAlignment="1">
      <alignment horizontal="center" vertical="center"/>
    </xf>
    <xf numFmtId="2" fontId="6" fillId="0" borderId="0" xfId="0" applyNumberFormat="1" applyFont="1" applyFill="1" applyAlignment="1">
      <alignment horizontal="center" vertical="center"/>
    </xf>
    <xf numFmtId="164" fontId="6" fillId="0" borderId="0" xfId="0" applyNumberFormat="1" applyFont="1" applyFill="1" applyAlignment="1">
      <alignment horizontal="center" vertical="center"/>
    </xf>
    <xf numFmtId="4" fontId="6" fillId="0" borderId="0" xfId="0" applyNumberFormat="1" applyFont="1" applyFill="1" applyAlignment="1">
      <alignment horizontal="center" vertical="center"/>
    </xf>
    <xf numFmtId="3" fontId="6" fillId="0" borderId="0" xfId="0" applyNumberFormat="1" applyFont="1" applyFill="1" applyAlignment="1">
      <alignment horizontal="center" vertical="center"/>
    </xf>
    <xf numFmtId="0" fontId="20" fillId="0" borderId="0" xfId="0" applyFont="1" applyFill="1" applyAlignment="1">
      <alignment horizontal="left"/>
    </xf>
    <xf numFmtId="2" fontId="20" fillId="0" borderId="0" xfId="0" applyNumberFormat="1" applyFont="1" applyFill="1" applyAlignment="1">
      <alignment horizontal="left"/>
    </xf>
    <xf numFmtId="164" fontId="20" fillId="0" borderId="0" xfId="0" applyNumberFormat="1" applyFont="1" applyFill="1" applyAlignment="1">
      <alignment horizontal="left"/>
    </xf>
    <xf numFmtId="4" fontId="20" fillId="0" borderId="0" xfId="0" applyNumberFormat="1" applyFont="1" applyFill="1" applyAlignment="1">
      <alignment horizontal="left"/>
    </xf>
    <xf numFmtId="0" fontId="26" fillId="0" borderId="0" xfId="0" applyFont="1" applyFill="1" applyAlignment="1">
      <alignment horizontal="left" vertical="center"/>
    </xf>
    <xf numFmtId="3" fontId="3" fillId="0" borderId="0" xfId="0" applyNumberFormat="1" applyFont="1" applyAlignment="1">
      <alignment horizontal="left" vertical="center"/>
    </xf>
    <xf numFmtId="164" fontId="17" fillId="0" borderId="0" xfId="0" applyNumberFormat="1" applyFont="1" applyAlignment="1">
      <alignment horizontal="center" vertical="center"/>
    </xf>
    <xf numFmtId="165" fontId="23" fillId="0" borderId="0" xfId="0" applyNumberFormat="1" applyFont="1" applyFill="1" applyAlignment="1">
      <alignment vertical="center"/>
    </xf>
    <xf numFmtId="165" fontId="4" fillId="0" borderId="0" xfId="0" applyNumberFormat="1" applyFont="1" applyFill="1" applyAlignment="1">
      <alignment vertical="center" wrapText="1"/>
    </xf>
    <xf numFmtId="0" fontId="28" fillId="0" borderId="0" xfId="0" applyFont="1" applyFill="1" applyAlignment="1">
      <alignment horizontal="center" vertical="center"/>
    </xf>
    <xf numFmtId="0" fontId="3" fillId="4" borderId="0" xfId="0" applyFont="1" applyFill="1" applyAlignment="1">
      <alignment horizontal="left" vertical="center"/>
    </xf>
    <xf numFmtId="0" fontId="4" fillId="4" borderId="0" xfId="0" applyFont="1" applyFill="1" applyAlignment="1">
      <alignment horizontal="left" vertical="center"/>
    </xf>
    <xf numFmtId="164" fontId="3" fillId="4" borderId="0" xfId="0" applyNumberFormat="1" applyFont="1" applyFill="1" applyAlignment="1">
      <alignment horizontal="left" vertical="center"/>
    </xf>
    <xf numFmtId="3" fontId="4" fillId="4" borderId="0" xfId="0" applyNumberFormat="1" applyFont="1" applyFill="1" applyAlignment="1">
      <alignment horizontal="left" vertical="center"/>
    </xf>
    <xf numFmtId="4" fontId="4" fillId="4" borderId="0" xfId="0" applyNumberFormat="1" applyFont="1" applyFill="1" applyAlignment="1">
      <alignment vertical="center"/>
    </xf>
    <xf numFmtId="165" fontId="4" fillId="4" borderId="0" xfId="0" applyNumberFormat="1" applyFont="1" applyFill="1" applyAlignment="1">
      <alignment horizontal="left" vertical="center"/>
    </xf>
    <xf numFmtId="164" fontId="3" fillId="4" borderId="0" xfId="0" applyNumberFormat="1" applyFont="1" applyFill="1" applyAlignment="1">
      <alignment vertical="center"/>
    </xf>
    <xf numFmtId="2" fontId="4" fillId="4" borderId="0" xfId="0" applyNumberFormat="1" applyFont="1" applyFill="1" applyAlignment="1">
      <alignment horizontal="left" vertical="center"/>
    </xf>
    <xf numFmtId="164" fontId="4" fillId="4" borderId="0" xfId="0" applyNumberFormat="1" applyFont="1" applyFill="1" applyAlignment="1">
      <alignment horizontal="left" vertical="center"/>
    </xf>
    <xf numFmtId="4" fontId="4" fillId="4" borderId="0" xfId="0" applyNumberFormat="1" applyFont="1" applyFill="1" applyAlignment="1">
      <alignment horizontal="left" vertical="center"/>
    </xf>
    <xf numFmtId="0" fontId="4" fillId="4" borderId="0" xfId="0" applyFont="1" applyFill="1" applyAlignment="1">
      <alignment vertical="center"/>
    </xf>
    <xf numFmtId="0" fontId="1" fillId="4" borderId="0" xfId="0" applyFont="1" applyFill="1" applyAlignment="1">
      <alignment vertical="center"/>
    </xf>
    <xf numFmtId="3" fontId="1" fillId="4" borderId="0" xfId="0" applyNumberFormat="1" applyFont="1" applyFill="1" applyAlignment="1">
      <alignment horizontal="left" vertical="center"/>
    </xf>
    <xf numFmtId="0" fontId="17" fillId="0" borderId="1" xfId="0" applyFont="1" applyFill="1" applyBorder="1" applyAlignment="1">
      <alignment horizontal="center" vertical="center"/>
    </xf>
    <xf numFmtId="165" fontId="8" fillId="0" borderId="0" xfId="0" applyNumberFormat="1" applyFont="1" applyFill="1" applyAlignment="1">
      <alignment horizontal="center"/>
    </xf>
    <xf numFmtId="165" fontId="4" fillId="0" borderId="0" xfId="0" quotePrefix="1" applyNumberFormat="1" applyFont="1" applyFill="1" applyAlignment="1">
      <alignment horizontal="left" vertical="center" wrapText="1"/>
    </xf>
    <xf numFmtId="0" fontId="6" fillId="0" borderId="0" xfId="0" quotePrefix="1" applyFont="1" applyFill="1" applyAlignment="1">
      <alignment horizontal="left" vertical="center" wrapText="1"/>
    </xf>
    <xf numFmtId="0" fontId="17" fillId="0" borderId="1" xfId="0" applyFont="1" applyFill="1" applyBorder="1" applyAlignment="1">
      <alignment horizontal="center" vertical="center"/>
    </xf>
    <xf numFmtId="0" fontId="4" fillId="0" borderId="0" xfId="0" applyFont="1" applyFill="1" applyBorder="1" applyAlignment="1">
      <alignment horizontal="left" vertical="center" wrapText="1"/>
    </xf>
    <xf numFmtId="3" fontId="17" fillId="0" borderId="0" xfId="0" applyNumberFormat="1" applyFont="1" applyFill="1" applyBorder="1" applyAlignment="1">
      <alignment horizontal="center" vertical="center" wrapText="1"/>
    </xf>
    <xf numFmtId="0" fontId="6" fillId="0" borderId="0" xfId="0" applyFont="1" applyFill="1" applyBorder="1" applyAlignment="1">
      <alignment horizontal="left" vertical="center" wrapText="1"/>
    </xf>
    <xf numFmtId="3" fontId="17" fillId="0" borderId="0" xfId="0" applyNumberFormat="1" applyFont="1" applyFill="1" applyBorder="1" applyAlignment="1">
      <alignment horizontal="center" vertical="center"/>
    </xf>
    <xf numFmtId="3" fontId="6" fillId="0" borderId="0" xfId="0" applyNumberFormat="1" applyFont="1" applyFill="1" applyBorder="1" applyAlignment="1">
      <alignment horizontal="center" vertical="center"/>
    </xf>
    <xf numFmtId="0" fontId="17" fillId="0" borderId="0" xfId="0" applyFont="1" applyFill="1" applyBorder="1" applyAlignment="1">
      <alignment horizontal="left" vertical="center" wrapText="1"/>
    </xf>
    <xf numFmtId="165" fontId="8" fillId="0" borderId="0" xfId="0" applyNumberFormat="1" applyFont="1" applyFill="1" applyAlignment="1">
      <alignment horizontal="center"/>
    </xf>
    <xf numFmtId="165" fontId="4" fillId="0" borderId="0" xfId="0" quotePrefix="1" applyNumberFormat="1" applyFont="1" applyFill="1" applyAlignment="1">
      <alignment horizontal="left" vertical="center" wrapText="1"/>
    </xf>
    <xf numFmtId="0" fontId="17" fillId="0" borderId="3" xfId="0" applyFont="1" applyFill="1" applyBorder="1" applyAlignment="1">
      <alignment horizontal="left" vertical="center" wrapText="1"/>
    </xf>
    <xf numFmtId="0" fontId="17" fillId="0" borderId="4" xfId="0" applyFont="1" applyFill="1" applyBorder="1" applyAlignment="1">
      <alignment horizontal="left" vertical="center" wrapText="1"/>
    </xf>
    <xf numFmtId="0" fontId="17" fillId="0" borderId="5" xfId="0" applyFont="1" applyFill="1" applyBorder="1" applyAlignment="1">
      <alignment horizontal="left" vertical="center" wrapText="1"/>
    </xf>
    <xf numFmtId="0" fontId="17" fillId="0" borderId="1" xfId="0" applyFont="1" applyFill="1" applyBorder="1" applyAlignment="1">
      <alignment horizontal="left" vertical="center"/>
    </xf>
    <xf numFmtId="0" fontId="6" fillId="0" borderId="1" xfId="0" applyFont="1" applyFill="1" applyBorder="1" applyAlignment="1">
      <alignment horizontal="left" vertical="center"/>
    </xf>
    <xf numFmtId="0" fontId="17" fillId="0" borderId="1" xfId="0" applyFont="1" applyFill="1" applyBorder="1" applyAlignment="1">
      <alignment horizontal="center"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6" fillId="0" borderId="4" xfId="0" applyFont="1" applyFill="1" applyBorder="1" applyAlignment="1">
      <alignment horizontal="left" vertical="center" wrapText="1"/>
    </xf>
    <xf numFmtId="0" fontId="6" fillId="0" borderId="5" xfId="0" applyFont="1" applyFill="1" applyBorder="1" applyAlignment="1">
      <alignment horizontal="left" vertical="center" wrapText="1"/>
    </xf>
    <xf numFmtId="0" fontId="6" fillId="0" borderId="0" xfId="0" quotePrefix="1" applyFont="1" applyFill="1" applyAlignment="1">
      <alignment horizontal="left" vertical="center" wrapText="1"/>
    </xf>
    <xf numFmtId="0" fontId="17" fillId="0" borderId="6" xfId="0" applyFont="1" applyFill="1" applyBorder="1" applyAlignment="1">
      <alignment horizontal="left" vertical="center"/>
    </xf>
    <xf numFmtId="0" fontId="26" fillId="0" borderId="0" xfId="0" applyFont="1" applyFill="1" applyAlignment="1">
      <alignment horizontal="left" vertical="center"/>
    </xf>
    <xf numFmtId="0" fontId="4" fillId="0" borderId="2" xfId="0" applyFont="1" applyFill="1" applyBorder="1" applyAlignment="1">
      <alignment horizontal="left" vertical="center" wrapText="1"/>
    </xf>
    <xf numFmtId="22" fontId="6" fillId="0" borderId="0" xfId="0" applyNumberFormat="1" applyFont="1" applyAlignment="1">
      <alignment horizontal="left" vertical="center"/>
    </xf>
    <xf numFmtId="0" fontId="19" fillId="0" borderId="0" xfId="0" applyFont="1" applyAlignment="1">
      <alignment horizontal="center" vertical="center"/>
    </xf>
    <xf numFmtId="165" fontId="4" fillId="0" borderId="0" xfId="0" applyNumberFormat="1" applyFont="1" applyAlignment="1">
      <alignment horizontal="left" vertical="center" wrapText="1"/>
    </xf>
    <xf numFmtId="165" fontId="3" fillId="0" borderId="0" xfId="0" applyNumberFormat="1" applyFont="1" applyAlignment="1">
      <alignment horizontal="center" vertical="center"/>
    </xf>
    <xf numFmtId="0" fontId="1" fillId="3" borderId="0" xfId="0" applyFont="1" applyFill="1" applyAlignment="1">
      <alignment horizontal="center" vertical="center" wrapText="1"/>
    </xf>
    <xf numFmtId="3" fontId="4" fillId="4" borderId="0" xfId="0" quotePrefix="1" applyNumberFormat="1" applyFont="1" applyFill="1" applyAlignment="1">
      <alignment horizontal="left" vertical="center"/>
    </xf>
    <xf numFmtId="0" fontId="11" fillId="0" borderId="0" xfId="0" applyFont="1" applyAlignment="1">
      <alignment horizontal="left" vertical="center"/>
    </xf>
    <xf numFmtId="3" fontId="10" fillId="0" borderId="0" xfId="0" applyNumberFormat="1" applyFont="1" applyAlignment="1">
      <alignment horizontal="center" vertical="top"/>
    </xf>
    <xf numFmtId="165" fontId="4" fillId="0" borderId="0" xfId="0" applyNumberFormat="1" applyFont="1" applyAlignment="1">
      <alignment horizontal="left" vertical="center"/>
    </xf>
    <xf numFmtId="14" fontId="4" fillId="0" borderId="0" xfId="0" applyNumberFormat="1" applyFont="1" applyFill="1" applyAlignment="1">
      <alignment horizontal="center" vertical="center" wrapText="1"/>
    </xf>
    <xf numFmtId="3" fontId="1" fillId="0" borderId="0" xfId="0" applyNumberFormat="1" applyFont="1" applyFill="1" applyAlignment="1">
      <alignment horizontal="left" vertical="center"/>
    </xf>
    <xf numFmtId="14" fontId="28" fillId="4" borderId="0" xfId="0" applyNumberFormat="1" applyFont="1" applyFill="1" applyAlignment="1">
      <alignment horizontal="left" vertical="center"/>
    </xf>
    <xf numFmtId="0" fontId="28" fillId="4" borderId="0" xfId="0" applyFont="1" applyFill="1" applyAlignment="1">
      <alignment horizontal="left" vertical="center"/>
    </xf>
    <xf numFmtId="4" fontId="4" fillId="4" borderId="0" xfId="0" applyNumberFormat="1" applyFont="1" applyFill="1" applyAlignment="1">
      <alignment horizontal="left" vertical="center"/>
    </xf>
    <xf numFmtId="0" fontId="28" fillId="4" borderId="0" xfId="0" applyFont="1" applyFill="1" applyAlignment="1">
      <alignment horizontal="left" vertical="center"/>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1" xfId="0" applyFont="1" applyBorder="1" applyAlignment="1">
      <alignment horizontal="left" vertical="center" wrapText="1"/>
    </xf>
    <xf numFmtId="14" fontId="4"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129540</xdr:colOff>
      <xdr:row>0</xdr:row>
      <xdr:rowOff>68580</xdr:rowOff>
    </xdr:from>
    <xdr:to>
      <xdr:col>1</xdr:col>
      <xdr:colOff>533400</xdr:colOff>
      <xdr:row>2</xdr:row>
      <xdr:rowOff>251460</xdr:rowOff>
    </xdr:to>
    <xdr:pic>
      <xdr:nvPicPr>
        <xdr:cNvPr id="7" name="Picture 6">
          <a:extLst>
            <a:ext uri="{FF2B5EF4-FFF2-40B4-BE49-F238E27FC236}">
              <a16:creationId xmlns:a16="http://schemas.microsoft.com/office/drawing/2014/main" id="{FCD1C56F-98F8-45B8-8846-AB14B2A9E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40" y="68580"/>
          <a:ext cx="746760" cy="7467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182880</xdr:colOff>
      <xdr:row>0</xdr:row>
      <xdr:rowOff>30480</xdr:rowOff>
    </xdr:from>
    <xdr:to>
      <xdr:col>1</xdr:col>
      <xdr:colOff>632460</xdr:colOff>
      <xdr:row>2</xdr:row>
      <xdr:rowOff>228600</xdr:rowOff>
    </xdr:to>
    <xdr:pic>
      <xdr:nvPicPr>
        <xdr:cNvPr id="4" name="Picture 3">
          <a:extLst>
            <a:ext uri="{FF2B5EF4-FFF2-40B4-BE49-F238E27FC236}">
              <a16:creationId xmlns:a16="http://schemas.microsoft.com/office/drawing/2014/main" id="{CCFF9054-2A83-4522-866D-5DB9271CDA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 y="30480"/>
          <a:ext cx="762000" cy="76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xdr:colOff>
      <xdr:row>0</xdr:row>
      <xdr:rowOff>0</xdr:rowOff>
    </xdr:from>
    <xdr:to>
      <xdr:col>1</xdr:col>
      <xdr:colOff>480060</xdr:colOff>
      <xdr:row>3</xdr:row>
      <xdr:rowOff>0</xdr:rowOff>
    </xdr:to>
    <xdr:pic>
      <xdr:nvPicPr>
        <xdr:cNvPr id="3" name="Picture 2">
          <a:extLst>
            <a:ext uri="{FF2B5EF4-FFF2-40B4-BE49-F238E27FC236}">
              <a16:creationId xmlns:a16="http://schemas.microsoft.com/office/drawing/2014/main" id="{FF66EF54-93CF-496F-9CD1-CF28640B2C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 y="0"/>
          <a:ext cx="845820" cy="8458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anelphuson.vn/" TargetMode="External"/><Relationship Id="rId1" Type="http://schemas.openxmlformats.org/officeDocument/2006/relationships/hyperlink" Target="https://javta.v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javta.vn/" TargetMode="External"/><Relationship Id="rId1" Type="http://schemas.openxmlformats.org/officeDocument/2006/relationships/hyperlink" Target="https://panelphuson.v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2D7F-DA33-40C9-8142-1E3AEC3F9AF8}">
  <sheetPr>
    <tabColor theme="9" tint="-0.249977111117893"/>
  </sheetPr>
  <dimension ref="A1:L44"/>
  <sheetViews>
    <sheetView zoomScaleNormal="100" workbookViewId="0">
      <selection activeCell="A10" sqref="A10:XFD28"/>
    </sheetView>
  </sheetViews>
  <sheetFormatPr defaultColWidth="8.88671875" defaultRowHeight="22.2" customHeight="1" x14ac:dyDescent="0.25"/>
  <cols>
    <col min="1" max="1" width="5" style="72" customWidth="1"/>
    <col min="2" max="2" width="8.5546875" style="72" customWidth="1"/>
    <col min="3" max="3" width="30" style="72" customWidth="1"/>
    <col min="4" max="4" width="5.33203125" style="72" customWidth="1"/>
    <col min="5" max="5" width="6.33203125" style="73" customWidth="1"/>
    <col min="6" max="6" width="6.5546875" style="74" customWidth="1"/>
    <col min="7" max="7" width="5.5546875" style="72" customWidth="1"/>
    <col min="8" max="8" width="9.6640625" style="75" customWidth="1"/>
    <col min="9" max="9" width="8.88671875" style="76" customWidth="1"/>
    <col min="10" max="10" width="14.33203125" style="76" customWidth="1"/>
    <col min="11" max="11" width="29.77734375" style="76" customWidth="1"/>
    <col min="12" max="16384" width="8.88671875" style="72"/>
  </cols>
  <sheetData>
    <row r="1" spans="1:12" ht="22.2" customHeight="1" x14ac:dyDescent="0.3">
      <c r="C1" s="133" t="s">
        <v>0</v>
      </c>
      <c r="D1" s="98"/>
      <c r="E1" s="98"/>
      <c r="F1" s="98"/>
      <c r="G1" s="98"/>
      <c r="H1" s="98"/>
      <c r="I1" s="98"/>
      <c r="J1" s="99"/>
      <c r="K1" s="99"/>
    </row>
    <row r="2" spans="1:12" s="78" customFormat="1" ht="22.2" customHeight="1" x14ac:dyDescent="0.25">
      <c r="C2" s="79" t="s">
        <v>1</v>
      </c>
      <c r="D2" s="79"/>
      <c r="E2" s="79"/>
      <c r="F2" s="80"/>
      <c r="G2" s="79"/>
      <c r="H2" s="79"/>
    </row>
    <row r="3" spans="1:12" s="78" customFormat="1" ht="22.2" customHeight="1" x14ac:dyDescent="0.25">
      <c r="C3" s="79" t="s">
        <v>2</v>
      </c>
      <c r="D3" s="81" t="s">
        <v>3</v>
      </c>
      <c r="F3" s="82"/>
      <c r="G3" s="81"/>
      <c r="H3" s="81" t="s">
        <v>4</v>
      </c>
      <c r="I3" s="83"/>
      <c r="J3" s="83"/>
      <c r="K3" s="83"/>
    </row>
    <row r="4" spans="1:12" s="78" customFormat="1" ht="22.95" customHeight="1" x14ac:dyDescent="0.3">
      <c r="A4" s="160" t="s">
        <v>5</v>
      </c>
      <c r="B4" s="160"/>
      <c r="C4" s="160"/>
      <c r="D4" s="160"/>
      <c r="E4" s="160"/>
      <c r="F4" s="160"/>
      <c r="G4" s="160"/>
      <c r="H4" s="160"/>
      <c r="I4" s="160"/>
      <c r="J4" s="160"/>
      <c r="K4" s="150"/>
    </row>
    <row r="5" spans="1:12" s="78" customFormat="1" ht="13.2" customHeight="1" x14ac:dyDescent="0.3">
      <c r="A5" s="97"/>
      <c r="B5" s="97"/>
      <c r="C5" s="97"/>
      <c r="D5" s="97"/>
      <c r="E5" s="97"/>
      <c r="F5" s="97"/>
      <c r="G5" s="97"/>
      <c r="H5" s="97"/>
      <c r="I5" s="97"/>
      <c r="J5" s="97"/>
      <c r="K5" s="150"/>
    </row>
    <row r="6" spans="1:12" s="87" customFormat="1" ht="20.399999999999999" customHeight="1" x14ac:dyDescent="0.25">
      <c r="A6" s="84" t="s">
        <v>89</v>
      </c>
      <c r="B6" s="84"/>
      <c r="C6" s="134"/>
      <c r="D6" s="134"/>
      <c r="E6" s="134"/>
      <c r="F6" s="134"/>
      <c r="G6" s="134"/>
      <c r="H6" s="85" t="s">
        <v>92</v>
      </c>
      <c r="I6" s="86"/>
      <c r="J6" s="86"/>
      <c r="K6" s="86"/>
    </row>
    <row r="7" spans="1:12" s="77" customFormat="1" ht="20.399999999999999" customHeight="1" x14ac:dyDescent="0.25">
      <c r="A7" s="79" t="s">
        <v>90</v>
      </c>
      <c r="B7" s="79"/>
      <c r="C7" s="134"/>
      <c r="D7" s="134"/>
      <c r="E7" s="134"/>
      <c r="F7" s="134"/>
      <c r="G7" s="134"/>
      <c r="H7" s="85" t="s">
        <v>93</v>
      </c>
      <c r="I7" s="88"/>
      <c r="J7" s="88"/>
      <c r="K7" s="88"/>
    </row>
    <row r="8" spans="1:12" s="77" customFormat="1" ht="20.399999999999999" customHeight="1" x14ac:dyDescent="0.25">
      <c r="A8" s="79" t="s">
        <v>7</v>
      </c>
      <c r="B8" s="79"/>
      <c r="C8" s="161" t="s">
        <v>91</v>
      </c>
      <c r="D8" s="161"/>
      <c r="E8" s="161"/>
      <c r="F8" s="161"/>
      <c r="G8" s="161"/>
      <c r="H8" s="85" t="s">
        <v>87</v>
      </c>
      <c r="I8" s="186" t="s">
        <v>94</v>
      </c>
      <c r="J8" s="186"/>
      <c r="K8" s="89"/>
      <c r="L8" s="151"/>
    </row>
    <row r="9" spans="1:12" s="77" customFormat="1" ht="43.95" customHeight="1" x14ac:dyDescent="0.25">
      <c r="A9" s="176" t="s">
        <v>8</v>
      </c>
      <c r="B9" s="176"/>
      <c r="C9" s="176"/>
      <c r="D9" s="176"/>
      <c r="E9" s="176"/>
      <c r="F9" s="176"/>
      <c r="G9" s="176"/>
      <c r="H9" s="176"/>
      <c r="I9" s="176"/>
      <c r="J9" s="176"/>
      <c r="K9" s="154"/>
    </row>
    <row r="10" spans="1:12" s="77" customFormat="1" ht="43.95" customHeight="1" x14ac:dyDescent="0.25">
      <c r="A10" s="100" t="s">
        <v>9</v>
      </c>
      <c r="B10" s="167" t="s">
        <v>10</v>
      </c>
      <c r="C10" s="167"/>
      <c r="D10" s="101" t="s">
        <v>11</v>
      </c>
      <c r="E10" s="102" t="s">
        <v>12</v>
      </c>
      <c r="F10" s="103" t="s">
        <v>13</v>
      </c>
      <c r="G10" s="101" t="s">
        <v>14</v>
      </c>
      <c r="H10" s="104" t="s">
        <v>15</v>
      </c>
      <c r="I10" s="105" t="s">
        <v>16</v>
      </c>
      <c r="J10" s="105" t="s">
        <v>17</v>
      </c>
      <c r="K10" s="155"/>
    </row>
    <row r="11" spans="1:12" s="77" customFormat="1" ht="108.6" customHeight="1" x14ac:dyDescent="0.25">
      <c r="A11" s="100" t="s">
        <v>64</v>
      </c>
      <c r="B11" s="168" t="s">
        <v>95</v>
      </c>
      <c r="C11" s="169"/>
      <c r="D11" s="169"/>
      <c r="E11" s="169"/>
      <c r="F11" s="169"/>
      <c r="G11" s="169"/>
      <c r="H11" s="169"/>
      <c r="I11" s="169"/>
      <c r="J11" s="170"/>
      <c r="K11" s="156"/>
    </row>
    <row r="12" spans="1:12" s="77" customFormat="1" ht="22.2" customHeight="1" x14ac:dyDescent="0.25">
      <c r="A12" s="100"/>
      <c r="B12" s="165" t="s">
        <v>80</v>
      </c>
      <c r="C12" s="165"/>
      <c r="D12" s="100"/>
      <c r="E12" s="106"/>
      <c r="F12" s="107"/>
      <c r="G12" s="100">
        <f>SUM(G13:G14)</f>
        <v>34</v>
      </c>
      <c r="H12" s="108">
        <f>SUM(H13:H14)</f>
        <v>198.88</v>
      </c>
      <c r="I12" s="109">
        <v>452000</v>
      </c>
      <c r="J12" s="109">
        <f>I12*H12</f>
        <v>89893760</v>
      </c>
      <c r="K12" s="157"/>
    </row>
    <row r="13" spans="1:12" s="77" customFormat="1" ht="22.2" customHeight="1" x14ac:dyDescent="0.25">
      <c r="A13" s="110">
        <v>1</v>
      </c>
      <c r="B13" s="166" t="s">
        <v>84</v>
      </c>
      <c r="C13" s="166"/>
      <c r="D13" s="110" t="s">
        <v>69</v>
      </c>
      <c r="E13" s="111">
        <v>1.1299999999999999</v>
      </c>
      <c r="F13" s="112">
        <v>5</v>
      </c>
      <c r="G13" s="110">
        <v>22</v>
      </c>
      <c r="H13" s="113">
        <f>G13*F13*E13</f>
        <v>124.29999999999998</v>
      </c>
      <c r="I13" s="114">
        <f>$I$12</f>
        <v>452000</v>
      </c>
      <c r="J13" s="114">
        <f>I13*H13</f>
        <v>56183599.999999993</v>
      </c>
      <c r="K13" s="158"/>
    </row>
    <row r="14" spans="1:12" s="77" customFormat="1" ht="22.2" customHeight="1" x14ac:dyDescent="0.25">
      <c r="A14" s="110">
        <v>2</v>
      </c>
      <c r="B14" s="166" t="s">
        <v>85</v>
      </c>
      <c r="C14" s="166"/>
      <c r="D14" s="110" t="s">
        <v>69</v>
      </c>
      <c r="E14" s="111">
        <v>1.1299999999999999</v>
      </c>
      <c r="F14" s="112">
        <v>5.5</v>
      </c>
      <c r="G14" s="110">
        <v>12</v>
      </c>
      <c r="H14" s="113">
        <f>G14*F14*E14</f>
        <v>74.58</v>
      </c>
      <c r="I14" s="114">
        <f>$I$12</f>
        <v>452000</v>
      </c>
      <c r="J14" s="114">
        <f>I14*H14</f>
        <v>33710160</v>
      </c>
      <c r="K14" s="158"/>
    </row>
    <row r="15" spans="1:12" s="77" customFormat="1" ht="108.6" customHeight="1" x14ac:dyDescent="0.25">
      <c r="A15" s="149" t="s">
        <v>65</v>
      </c>
      <c r="B15" s="162" t="s">
        <v>96</v>
      </c>
      <c r="C15" s="171"/>
      <c r="D15" s="171"/>
      <c r="E15" s="171"/>
      <c r="F15" s="171"/>
      <c r="G15" s="171"/>
      <c r="H15" s="171"/>
      <c r="I15" s="171"/>
      <c r="J15" s="172"/>
      <c r="K15" s="156"/>
    </row>
    <row r="16" spans="1:12" s="77" customFormat="1" ht="22.2" customHeight="1" x14ac:dyDescent="0.25">
      <c r="A16" s="149"/>
      <c r="B16" s="165" t="s">
        <v>81</v>
      </c>
      <c r="C16" s="165"/>
      <c r="D16" s="149"/>
      <c r="E16" s="106"/>
      <c r="F16" s="107"/>
      <c r="G16" s="149">
        <f>SUM(G17:G18)</f>
        <v>16</v>
      </c>
      <c r="H16" s="108">
        <f>SUM(H17:H19)</f>
        <v>86.784000000000006</v>
      </c>
      <c r="I16" s="109">
        <v>162000</v>
      </c>
      <c r="J16" s="109">
        <f>H16*I16</f>
        <v>14059008.000000002</v>
      </c>
      <c r="K16" s="157"/>
    </row>
    <row r="17" spans="1:11" s="77" customFormat="1" ht="22.2" customHeight="1" x14ac:dyDescent="0.25">
      <c r="A17" s="110">
        <v>1</v>
      </c>
      <c r="B17" s="166" t="s">
        <v>84</v>
      </c>
      <c r="C17" s="166"/>
      <c r="D17" s="110" t="s">
        <v>69</v>
      </c>
      <c r="E17" s="111">
        <v>1.08</v>
      </c>
      <c r="F17" s="112">
        <v>6.2</v>
      </c>
      <c r="G17" s="110">
        <v>8</v>
      </c>
      <c r="H17" s="113">
        <f>G17*F17*E17</f>
        <v>53.568000000000005</v>
      </c>
      <c r="I17" s="114">
        <f>$I$16</f>
        <v>162000</v>
      </c>
      <c r="J17" s="114">
        <f>I17*H17</f>
        <v>8678016</v>
      </c>
      <c r="K17" s="158"/>
    </row>
    <row r="18" spans="1:11" s="77" customFormat="1" ht="22.2" customHeight="1" x14ac:dyDescent="0.25">
      <c r="A18" s="110">
        <v>2</v>
      </c>
      <c r="B18" s="166" t="s">
        <v>85</v>
      </c>
      <c r="C18" s="166"/>
      <c r="D18" s="110" t="s">
        <v>69</v>
      </c>
      <c r="E18" s="111">
        <v>1.08</v>
      </c>
      <c r="F18" s="112">
        <v>3.15</v>
      </c>
      <c r="G18" s="110">
        <v>8</v>
      </c>
      <c r="H18" s="113">
        <f>G18*F18*E18</f>
        <v>27.216000000000001</v>
      </c>
      <c r="I18" s="114">
        <f>$I$16</f>
        <v>162000</v>
      </c>
      <c r="J18" s="114">
        <f t="shared" ref="J18:J19" si="0">I18*H18</f>
        <v>4408992</v>
      </c>
      <c r="K18" s="158"/>
    </row>
    <row r="19" spans="1:11" s="135" customFormat="1" ht="22.2" customHeight="1" x14ac:dyDescent="0.25">
      <c r="A19" s="110">
        <v>3</v>
      </c>
      <c r="B19" s="166" t="s">
        <v>82</v>
      </c>
      <c r="C19" s="166"/>
      <c r="D19" s="110" t="s">
        <v>69</v>
      </c>
      <c r="E19" s="111"/>
      <c r="F19" s="112"/>
      <c r="G19" s="110"/>
      <c r="H19" s="113">
        <v>6</v>
      </c>
      <c r="I19" s="114">
        <f>$I$16</f>
        <v>162000</v>
      </c>
      <c r="J19" s="114">
        <f>I19*H19</f>
        <v>972000</v>
      </c>
      <c r="K19" s="158"/>
    </row>
    <row r="20" spans="1:11" s="77" customFormat="1" ht="39" customHeight="1" x14ac:dyDescent="0.25">
      <c r="A20" s="100" t="s">
        <v>83</v>
      </c>
      <c r="B20" s="162" t="s">
        <v>70</v>
      </c>
      <c r="C20" s="163"/>
      <c r="D20" s="163"/>
      <c r="E20" s="163"/>
      <c r="F20" s="163"/>
      <c r="G20" s="163"/>
      <c r="H20" s="163"/>
      <c r="I20" s="163"/>
      <c r="J20" s="164"/>
      <c r="K20" s="159"/>
    </row>
    <row r="21" spans="1:11" s="77" customFormat="1" ht="22.2" customHeight="1" x14ac:dyDescent="0.25">
      <c r="A21" s="100"/>
      <c r="B21" s="165" t="s">
        <v>81</v>
      </c>
      <c r="C21" s="165"/>
      <c r="D21" s="100"/>
      <c r="E21" s="106"/>
      <c r="F21" s="107"/>
      <c r="G21" s="100">
        <f>SUM(G22:G23)</f>
        <v>21</v>
      </c>
      <c r="H21" s="115">
        <f>SUM(H22:H23)</f>
        <v>84</v>
      </c>
      <c r="I21" s="109"/>
      <c r="J21" s="109">
        <f>SUM(J22:J23)</f>
        <v>4080000</v>
      </c>
      <c r="K21" s="157"/>
    </row>
    <row r="22" spans="1:11" s="77" customFormat="1" ht="22.2" customHeight="1" x14ac:dyDescent="0.25">
      <c r="A22" s="110">
        <v>1</v>
      </c>
      <c r="B22" s="166" t="s">
        <v>97</v>
      </c>
      <c r="C22" s="166"/>
      <c r="D22" s="110" t="s">
        <v>18</v>
      </c>
      <c r="E22" s="111">
        <v>0.4</v>
      </c>
      <c r="F22" s="112">
        <v>4</v>
      </c>
      <c r="G22" s="110">
        <v>15</v>
      </c>
      <c r="H22" s="116">
        <f>G22*F22</f>
        <v>60</v>
      </c>
      <c r="I22" s="114">
        <v>42000</v>
      </c>
      <c r="J22" s="114">
        <f>I22*H22</f>
        <v>2520000</v>
      </c>
      <c r="K22" s="158"/>
    </row>
    <row r="23" spans="1:11" s="77" customFormat="1" ht="22.2" customHeight="1" x14ac:dyDescent="0.25">
      <c r="A23" s="110">
        <v>2</v>
      </c>
      <c r="B23" s="166" t="s">
        <v>98</v>
      </c>
      <c r="C23" s="166"/>
      <c r="D23" s="110" t="s">
        <v>18</v>
      </c>
      <c r="E23" s="111">
        <v>0.6</v>
      </c>
      <c r="F23" s="112">
        <v>4</v>
      </c>
      <c r="G23" s="110">
        <v>6</v>
      </c>
      <c r="H23" s="116">
        <f>G23*F23</f>
        <v>24</v>
      </c>
      <c r="I23" s="114">
        <v>65000</v>
      </c>
      <c r="J23" s="114">
        <f>I23*H23</f>
        <v>1560000</v>
      </c>
      <c r="K23" s="158"/>
    </row>
    <row r="24" spans="1:11" s="77" customFormat="1" ht="22.2" customHeight="1" x14ac:dyDescent="0.25">
      <c r="A24" s="100" t="s">
        <v>19</v>
      </c>
      <c r="B24" s="165" t="s">
        <v>72</v>
      </c>
      <c r="C24" s="165"/>
      <c r="D24" s="165"/>
      <c r="E24" s="165"/>
      <c r="F24" s="165"/>
      <c r="G24" s="165"/>
      <c r="H24" s="165"/>
      <c r="I24" s="165"/>
      <c r="J24" s="117">
        <f>J21+J16+J12</f>
        <v>108032768</v>
      </c>
      <c r="K24" s="157"/>
    </row>
    <row r="25" spans="1:11" s="77" customFormat="1" ht="22.2" customHeight="1" x14ac:dyDescent="0.25">
      <c r="A25" s="100" t="s">
        <v>20</v>
      </c>
      <c r="B25" s="165" t="s">
        <v>73</v>
      </c>
      <c r="C25" s="165"/>
      <c r="D25" s="165"/>
      <c r="E25" s="165"/>
      <c r="F25" s="165"/>
      <c r="G25" s="165"/>
      <c r="H25" s="165"/>
      <c r="I25" s="165"/>
      <c r="J25" s="117">
        <f>(J12)*8%</f>
        <v>7191500.7999999998</v>
      </c>
      <c r="K25" s="157"/>
    </row>
    <row r="26" spans="1:11" s="77" customFormat="1" ht="22.2" customHeight="1" x14ac:dyDescent="0.25">
      <c r="A26" s="100" t="s">
        <v>21</v>
      </c>
      <c r="B26" s="165" t="s">
        <v>74</v>
      </c>
      <c r="C26" s="165"/>
      <c r="D26" s="165"/>
      <c r="E26" s="165"/>
      <c r="F26" s="165"/>
      <c r="G26" s="165"/>
      <c r="H26" s="165"/>
      <c r="I26" s="165"/>
      <c r="J26" s="117">
        <f>(J21+J16)*10%</f>
        <v>1813900.8</v>
      </c>
      <c r="K26" s="157"/>
    </row>
    <row r="27" spans="1:11" s="77" customFormat="1" ht="22.2" customHeight="1" x14ac:dyDescent="0.25">
      <c r="A27" s="100" t="s">
        <v>68</v>
      </c>
      <c r="B27" s="165" t="s">
        <v>75</v>
      </c>
      <c r="C27" s="165"/>
      <c r="D27" s="165"/>
      <c r="E27" s="165"/>
      <c r="F27" s="165"/>
      <c r="G27" s="165"/>
      <c r="H27" s="165"/>
      <c r="I27" s="165"/>
      <c r="J27" s="117">
        <f>J26+J25+J24</f>
        <v>117038169.59999999</v>
      </c>
      <c r="K27" s="157"/>
    </row>
    <row r="28" spans="1:11" s="77" customFormat="1" ht="22.2" customHeight="1" x14ac:dyDescent="0.25">
      <c r="A28" s="174" t="s">
        <v>22</v>
      </c>
      <c r="B28" s="174"/>
      <c r="C28" s="118" t="s">
        <v>99</v>
      </c>
      <c r="D28" s="118"/>
      <c r="E28" s="118"/>
      <c r="F28" s="119"/>
      <c r="G28" s="118"/>
      <c r="H28" s="118"/>
      <c r="I28" s="118"/>
      <c r="J28" s="120"/>
      <c r="K28" s="120"/>
    </row>
    <row r="29" spans="1:11" s="77" customFormat="1" ht="22.2" customHeight="1" x14ac:dyDescent="0.25">
      <c r="A29" s="175" t="s">
        <v>23</v>
      </c>
      <c r="B29" s="175"/>
      <c r="C29" s="121"/>
      <c r="D29" s="121"/>
      <c r="E29" s="122"/>
      <c r="F29" s="123"/>
      <c r="G29" s="121"/>
      <c r="H29" s="124"/>
      <c r="I29" s="125"/>
      <c r="J29" s="125"/>
      <c r="K29" s="125"/>
    </row>
    <row r="30" spans="1:11" s="90" customFormat="1" ht="18" customHeight="1" x14ac:dyDescent="0.25">
      <c r="A30" s="126" t="s">
        <v>24</v>
      </c>
      <c r="B30" s="126"/>
      <c r="C30" s="126"/>
      <c r="D30" s="126"/>
      <c r="E30" s="127"/>
      <c r="F30" s="128"/>
      <c r="G30" s="126"/>
      <c r="H30" s="129"/>
      <c r="I30" s="126"/>
      <c r="J30" s="126"/>
      <c r="K30" s="126"/>
    </row>
    <row r="31" spans="1:11" s="90" customFormat="1" ht="18" customHeight="1" x14ac:dyDescent="0.25">
      <c r="A31" s="126" t="s">
        <v>25</v>
      </c>
      <c r="B31" s="126"/>
      <c r="C31" s="126"/>
      <c r="D31" s="126"/>
      <c r="E31" s="126" t="s">
        <v>26</v>
      </c>
      <c r="F31" s="128"/>
      <c r="G31" s="126"/>
      <c r="H31" s="129"/>
      <c r="I31" s="126"/>
      <c r="J31" s="126"/>
      <c r="K31" s="126"/>
    </row>
    <row r="32" spans="1:11" s="90" customFormat="1" ht="18" customHeight="1" x14ac:dyDescent="0.25">
      <c r="A32" s="126" t="s">
        <v>71</v>
      </c>
      <c r="B32" s="126"/>
      <c r="C32" s="126"/>
      <c r="D32" s="126"/>
      <c r="E32" s="126" t="s">
        <v>28</v>
      </c>
      <c r="F32" s="128"/>
      <c r="G32" s="126"/>
      <c r="H32" s="129"/>
      <c r="I32" s="126"/>
      <c r="J32" s="126"/>
      <c r="K32" s="126"/>
    </row>
    <row r="33" spans="1:11" s="90" customFormat="1" ht="18" customHeight="1" x14ac:dyDescent="0.25">
      <c r="A33" s="126" t="s">
        <v>101</v>
      </c>
      <c r="B33" s="126"/>
      <c r="C33" s="126"/>
      <c r="D33" s="126"/>
      <c r="E33" s="127"/>
      <c r="F33" s="128"/>
      <c r="G33" s="126"/>
      <c r="H33" s="129"/>
      <c r="I33" s="126"/>
      <c r="J33" s="126"/>
      <c r="K33" s="126" t="s">
        <v>100</v>
      </c>
    </row>
    <row r="34" spans="1:11" s="77" customFormat="1" ht="22.2" customHeight="1" x14ac:dyDescent="0.25">
      <c r="A34" s="130" t="s">
        <v>29</v>
      </c>
      <c r="B34" s="121"/>
      <c r="C34" s="121"/>
      <c r="D34" s="121"/>
      <c r="E34" s="122"/>
      <c r="F34" s="123"/>
      <c r="G34" s="121"/>
      <c r="H34" s="124"/>
      <c r="I34" s="125"/>
      <c r="J34" s="125"/>
      <c r="K34" s="125"/>
    </row>
    <row r="35" spans="1:11" s="77" customFormat="1" ht="22.2" customHeight="1" x14ac:dyDescent="0.25">
      <c r="A35" s="173" t="s">
        <v>66</v>
      </c>
      <c r="B35" s="173"/>
      <c r="C35" s="173"/>
      <c r="D35" s="173"/>
      <c r="E35" s="173"/>
      <c r="F35" s="173"/>
      <c r="G35" s="173"/>
      <c r="H35" s="173"/>
      <c r="I35" s="173"/>
      <c r="J35" s="173"/>
      <c r="K35" s="152"/>
    </row>
    <row r="36" spans="1:11" s="77" customFormat="1" ht="22.2" customHeight="1" x14ac:dyDescent="0.25">
      <c r="A36" s="173" t="s">
        <v>67</v>
      </c>
      <c r="B36" s="173"/>
      <c r="C36" s="173"/>
      <c r="D36" s="173"/>
      <c r="E36" s="173"/>
      <c r="F36" s="173"/>
      <c r="G36" s="173"/>
      <c r="H36" s="173"/>
      <c r="I36" s="173"/>
      <c r="J36" s="173"/>
      <c r="K36" s="152"/>
    </row>
    <row r="37" spans="1:11" s="77" customFormat="1" ht="22.2" customHeight="1" x14ac:dyDescent="0.25">
      <c r="A37" s="130" t="s">
        <v>30</v>
      </c>
      <c r="B37" s="81"/>
      <c r="C37" s="121"/>
      <c r="D37" s="121"/>
      <c r="E37" s="122"/>
      <c r="F37" s="123"/>
      <c r="G37" s="121"/>
      <c r="H37" s="124"/>
      <c r="I37" s="125"/>
      <c r="J37" s="125"/>
      <c r="K37" s="125"/>
    </row>
    <row r="38" spans="1:11" s="77" customFormat="1" ht="22.2" customHeight="1" x14ac:dyDescent="0.25">
      <c r="A38" s="81" t="s">
        <v>31</v>
      </c>
      <c r="B38" s="121"/>
      <c r="C38" s="121"/>
      <c r="D38" s="121"/>
      <c r="E38" s="122"/>
      <c r="F38" s="123"/>
      <c r="G38" s="121"/>
      <c r="H38" s="124"/>
      <c r="I38" s="125"/>
      <c r="J38" s="125"/>
      <c r="K38" s="125"/>
    </row>
    <row r="39" spans="1:11" s="77" customFormat="1" ht="22.2" customHeight="1" x14ac:dyDescent="0.25">
      <c r="A39" s="81" t="s">
        <v>32</v>
      </c>
      <c r="B39" s="121"/>
      <c r="C39" s="121"/>
      <c r="D39" s="121"/>
      <c r="E39" s="122"/>
      <c r="F39" s="123"/>
      <c r="G39" s="121"/>
      <c r="H39" s="124"/>
      <c r="I39" s="125"/>
      <c r="J39" s="125"/>
      <c r="K39" s="125"/>
    </row>
    <row r="40" spans="1:11" s="91" customFormat="1" ht="17.399999999999999" customHeight="1" x14ac:dyDescent="0.25">
      <c r="B40" s="92" t="s">
        <v>33</v>
      </c>
      <c r="C40" s="92"/>
      <c r="E40" s="93"/>
      <c r="F40" s="93"/>
      <c r="G40" s="93"/>
      <c r="H40" s="93"/>
      <c r="I40" s="94" t="s">
        <v>34</v>
      </c>
      <c r="J40" s="93"/>
      <c r="K40" s="93"/>
    </row>
    <row r="41" spans="1:11" s="77" customFormat="1" ht="30" customHeight="1" x14ac:dyDescent="0.25">
      <c r="F41" s="95"/>
      <c r="G41" s="95"/>
      <c r="H41" s="95"/>
      <c r="I41" s="96" t="str">
        <f>I8</f>
        <v>Mr Long - 0978349917</v>
      </c>
      <c r="J41" s="95"/>
      <c r="K41" s="95"/>
    </row>
    <row r="44" spans="1:11" ht="22.2" customHeight="1" x14ac:dyDescent="0.25">
      <c r="K44" s="187" t="s">
        <v>102</v>
      </c>
    </row>
  </sheetData>
  <mergeCells count="26">
    <mergeCell ref="B22:C22"/>
    <mergeCell ref="B23:C23"/>
    <mergeCell ref="B21:C21"/>
    <mergeCell ref="B14:C14"/>
    <mergeCell ref="B24:I24"/>
    <mergeCell ref="B18:C18"/>
    <mergeCell ref="B27:I27"/>
    <mergeCell ref="B26:I26"/>
    <mergeCell ref="B25:I25"/>
    <mergeCell ref="A36:J36"/>
    <mergeCell ref="A28:B28"/>
    <mergeCell ref="A29:B29"/>
    <mergeCell ref="A35:J35"/>
    <mergeCell ref="A4:J4"/>
    <mergeCell ref="C8:G8"/>
    <mergeCell ref="B20:J20"/>
    <mergeCell ref="B12:C12"/>
    <mergeCell ref="B13:C13"/>
    <mergeCell ref="B10:C10"/>
    <mergeCell ref="B11:J11"/>
    <mergeCell ref="B15:J15"/>
    <mergeCell ref="B16:C16"/>
    <mergeCell ref="B17:C17"/>
    <mergeCell ref="B19:C19"/>
    <mergeCell ref="A9:J9"/>
    <mergeCell ref="I8:J8"/>
  </mergeCells>
  <hyperlinks>
    <hyperlink ref="H3" r:id="rId1" xr:uid="{DD36E1D1-6398-48D7-A5F4-479BF2E88BA6}"/>
    <hyperlink ref="D3" r:id="rId2" tooltip="www.panelphuson.vn" xr:uid="{B01DD589-3D93-48D9-99AD-4BBEC75CE116}"/>
  </hyperlinks>
  <pageMargins left="0.35433070866141736" right="0.17" top="0.51181102362204722" bottom="0.43307086614173229" header="0.31496062992125984" footer="0.15748031496062992"/>
  <pageSetup paperSize="9" orientation="portrait" r:id="rId3"/>
  <headerFooter>
    <oddFooter>&amp;R&amp;P</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C3D51-DF49-417C-BF4F-2E0B0EDBA82D}">
  <sheetPr>
    <tabColor theme="9" tint="-0.249977111117893"/>
  </sheetPr>
  <dimension ref="A1:AI46"/>
  <sheetViews>
    <sheetView topLeftCell="A28" zoomScaleNormal="100" workbookViewId="0">
      <selection activeCell="A9" sqref="A9:XFD22"/>
    </sheetView>
  </sheetViews>
  <sheetFormatPr defaultColWidth="8.88671875" defaultRowHeight="22.2" customHeight="1" x14ac:dyDescent="0.25"/>
  <cols>
    <col min="1" max="1" width="4.5546875" style="1" customWidth="1"/>
    <col min="2" max="2" width="10.109375" style="1" customWidth="1"/>
    <col min="3" max="3" width="36.5546875" style="1" customWidth="1"/>
    <col min="4" max="4" width="6.6640625" style="1" customWidth="1"/>
    <col min="5" max="5" width="8" style="2" customWidth="1"/>
    <col min="6" max="6" width="8" style="3" customWidth="1"/>
    <col min="7" max="7" width="7.33203125" style="1" customWidth="1"/>
    <col min="8" max="8" width="10.77734375" style="4" customWidth="1"/>
    <col min="9" max="9" width="11.109375" style="5" customWidth="1"/>
    <col min="10" max="10" width="14.33203125" style="5" customWidth="1"/>
    <col min="11" max="11" width="18.88671875" style="1" customWidth="1"/>
    <col min="12" max="12" width="12.5546875" style="1" customWidth="1"/>
    <col min="13" max="21" width="10.6640625" style="1" customWidth="1"/>
    <col min="22" max="22" width="15.6640625" style="1" customWidth="1"/>
    <col min="23" max="23" width="14.44140625" style="1" customWidth="1"/>
    <col min="24" max="57" width="10.6640625" style="1" customWidth="1"/>
    <col min="58" max="16384" width="8.88671875" style="1"/>
  </cols>
  <sheetData>
    <row r="1" spans="1:35" ht="22.2" customHeight="1" x14ac:dyDescent="0.2">
      <c r="C1" s="133" t="s">
        <v>0</v>
      </c>
      <c r="J1" s="6" t="str">
        <f>$L$1&amp;"."&amp;$L$2</f>
        <v>.</v>
      </c>
      <c r="K1" s="7"/>
      <c r="L1" s="7"/>
      <c r="V1" s="8">
        <f>$J$28</f>
        <v>989399</v>
      </c>
      <c r="W1" s="9" t="str">
        <f>RIGHT("000000000000"&amp;ROUND(V1,0),12)</f>
        <v>000000989399</v>
      </c>
      <c r="X1" s="9">
        <v>1</v>
      </c>
      <c r="Y1" s="9">
        <v>2</v>
      </c>
      <c r="Z1" s="9">
        <v>3</v>
      </c>
      <c r="AA1" s="9">
        <v>4</v>
      </c>
      <c r="AB1" s="9">
        <v>5</v>
      </c>
      <c r="AC1" s="9">
        <v>6</v>
      </c>
      <c r="AD1" s="9">
        <v>7</v>
      </c>
      <c r="AE1" s="9">
        <v>8</v>
      </c>
      <c r="AF1" s="9">
        <v>9</v>
      </c>
      <c r="AG1" s="9">
        <v>10</v>
      </c>
      <c r="AH1" s="9">
        <v>11</v>
      </c>
      <c r="AI1" s="9">
        <v>12</v>
      </c>
    </row>
    <row r="2" spans="1:35" s="10" customFormat="1" ht="22.2" customHeight="1" x14ac:dyDescent="0.2">
      <c r="C2" s="11" t="s">
        <v>1</v>
      </c>
      <c r="D2" s="11"/>
      <c r="E2" s="11"/>
      <c r="F2" s="11"/>
      <c r="G2" s="11"/>
      <c r="H2" s="11"/>
      <c r="K2" s="7"/>
      <c r="L2" s="7"/>
      <c r="V2" s="9"/>
      <c r="W2" s="9"/>
      <c r="X2" s="9">
        <f>VALUE(MID(W1,X1,1))</f>
        <v>0</v>
      </c>
      <c r="Y2" s="9">
        <f>VALUE(MID(W1,Y1,1))</f>
        <v>0</v>
      </c>
      <c r="Z2" s="9">
        <f>VALUE(MID(W1,Z1,1))</f>
        <v>0</v>
      </c>
      <c r="AA2" s="9">
        <f>VALUE(MID(W1,AA1,1))</f>
        <v>0</v>
      </c>
      <c r="AB2" s="9">
        <f>VALUE(MID(W1,AB1,1))</f>
        <v>0</v>
      </c>
      <c r="AC2" s="9">
        <f>VALUE(MID(W1,AC1,1))</f>
        <v>0</v>
      </c>
      <c r="AD2" s="9">
        <f>VALUE(MID(W1,AD1,1))</f>
        <v>9</v>
      </c>
      <c r="AE2" s="9">
        <f>VALUE(MID(W1,AE1,1))</f>
        <v>8</v>
      </c>
      <c r="AF2" s="9">
        <f>VALUE(MID(W1,AF1,1))</f>
        <v>9</v>
      </c>
      <c r="AG2" s="9">
        <f>VALUE(MID(W1,AG1,1))</f>
        <v>3</v>
      </c>
      <c r="AH2" s="9">
        <f>VALUE(MID(W1,AH1,1))</f>
        <v>9</v>
      </c>
      <c r="AI2" s="9">
        <f>VALUE(MID(W1,AI1,1))</f>
        <v>9</v>
      </c>
    </row>
    <row r="3" spans="1:35" s="10" customFormat="1" ht="22.2" customHeight="1" x14ac:dyDescent="0.25">
      <c r="C3" s="11" t="s">
        <v>2</v>
      </c>
      <c r="D3" s="13"/>
      <c r="E3" s="13" t="s">
        <v>3</v>
      </c>
      <c r="F3" s="13"/>
      <c r="G3" s="13"/>
      <c r="H3" s="13" t="s">
        <v>4</v>
      </c>
      <c r="I3" s="14"/>
      <c r="J3"/>
      <c r="K3" s="7"/>
      <c r="L3" s="7"/>
      <c r="M3" s="1"/>
      <c r="N3" s="1"/>
      <c r="O3" s="1"/>
      <c r="P3" s="1"/>
      <c r="Q3" s="1"/>
      <c r="R3" s="1"/>
      <c r="S3" s="1"/>
      <c r="T3" s="1"/>
      <c r="V3" s="9"/>
      <c r="W3" s="9"/>
      <c r="X3" s="9">
        <f>SUM(X2)</f>
        <v>0</v>
      </c>
      <c r="Y3" s="9">
        <f>SUM(X2:Y2)</f>
        <v>0</v>
      </c>
      <c r="Z3" s="9">
        <f>SUM(X2:Z2)</f>
        <v>0</v>
      </c>
      <c r="AA3" s="9">
        <f>SUM(AA2)</f>
        <v>0</v>
      </c>
      <c r="AB3" s="9">
        <f>SUM(AA2:AB2)</f>
        <v>0</v>
      </c>
      <c r="AC3" s="9">
        <f>SUM(AA2:AC2)</f>
        <v>0</v>
      </c>
      <c r="AD3" s="9">
        <f>SUM(AD2)</f>
        <v>9</v>
      </c>
      <c r="AE3" s="9">
        <f>SUM(AD2:AE2)</f>
        <v>17</v>
      </c>
      <c r="AF3" s="9">
        <f>SUM(AD2:AF2)</f>
        <v>26</v>
      </c>
      <c r="AG3" s="9">
        <f>SUM(AG2)</f>
        <v>3</v>
      </c>
      <c r="AH3" s="9">
        <f>SUM(AG2:AH2)</f>
        <v>12</v>
      </c>
      <c r="AI3" s="9">
        <f>SUM(AG2:AI2)</f>
        <v>21</v>
      </c>
    </row>
    <row r="4" spans="1:35" s="7" customFormat="1" ht="22.2" customHeight="1" x14ac:dyDescent="0.25">
      <c r="C4" s="29" t="s">
        <v>35</v>
      </c>
      <c r="D4" s="30">
        <v>6508</v>
      </c>
      <c r="E4" s="31" t="s">
        <v>86</v>
      </c>
      <c r="F4" s="132"/>
      <c r="G4" s="32"/>
      <c r="H4" s="33" t="s">
        <v>36</v>
      </c>
      <c r="I4" s="177">
        <f ca="1">NOW()</f>
        <v>46182.934626041664</v>
      </c>
      <c r="J4" s="177"/>
      <c r="V4" s="34"/>
      <c r="W4" s="34"/>
      <c r="X4" s="34" t="str">
        <f>IF(X2=0,"",CHOOSE(X2,"một","hai","ba","bốn","năm","sáu","bảy","tám","chín"))</f>
        <v/>
      </c>
      <c r="Y4" s="34" t="str">
        <f>IF(Y2=0,IF(AND(X2&lt;&gt;0,Z2&lt;&gt;0),"lẻ",""),CHOOSE(Y2,"mười","hai","ba","bốn","năm","sáu","bảy","tám","chín"))</f>
        <v/>
      </c>
      <c r="Z4" s="34" t="str">
        <f>IF(Z2=0,"",CHOOSE(Z2,IF(Y2&gt;1,"mốt","một"),"hai","ba","bốn",IF(Y2=0,"năm","lăm"),"sáu","bảy","tám","chín"))</f>
        <v/>
      </c>
      <c r="AA4" s="34" t="str">
        <f>IF(AA2=0,"",CHOOSE(AA2,"một","hai","ba","bốn","năm","sáu","bảy","tám","chín"))</f>
        <v/>
      </c>
      <c r="AB4" s="34" t="str">
        <f>IF(AB2=0,IF(AND(AA2&lt;&gt;0,AC2&lt;&gt;0),"lẻ",""),CHOOSE(AB2,"mười","hai","ba","bốn","năm","sáu","bảy","tám","chín"))</f>
        <v/>
      </c>
      <c r="AC4" s="34" t="str">
        <f>IF(AC2=0,"",CHOOSE(AC2,IF(AB2&gt;1,"mốt","một"),"hai","ba","bốn",IF(AB2=0,"năm","lăm"),"sáu","bảy","tám","chín"))</f>
        <v/>
      </c>
      <c r="AD4" s="34" t="str">
        <f>IF(AD2=0,"",CHOOSE(AD2,"một","hai","ba","bốn","năm","sáu","bảy","tám","chín"))</f>
        <v>chín</v>
      </c>
      <c r="AE4" s="34" t="str">
        <f>IF(AE2=0,IF(AND(AD2&lt;&gt;0,AF2&lt;&gt;0),"lẻ",""),CHOOSE(AE2,"mười","hai","ba","bốn","năm","sáu","bảy","tám","chín"))</f>
        <v>tám</v>
      </c>
      <c r="AF4" s="34" t="str">
        <f>IF(AF2=0,"",CHOOSE(AF2,IF(AE2&gt;1,"mốt","một"),"hai","ba","bốn",IF(AE2=0,"năm","lăm"),"sáu","bảy","tám","chín"))</f>
        <v>chín</v>
      </c>
      <c r="AG4" s="34" t="str">
        <f>IF(AG2=0,"",CHOOSE(AG2,"một","hai","ba","bốn","năm","sáu","bảy","tám","chín"))</f>
        <v>ba</v>
      </c>
      <c r="AH4" s="34" t="str">
        <f>IF(AH2=0,IF(AND(AG2&lt;&gt;0,AI2&lt;&gt;0),"lẻ",""),CHOOSE(AH2,"mười","hai","ba","bốn","năm","sáu","bảy","tám","chín"))</f>
        <v>chín</v>
      </c>
      <c r="AI4" s="34" t="str">
        <f>IF(AI2=0,"",CHOOSE(AI2,IF(AH2&gt;1,"mốt","một"),"hai","ba","bốn",IF(AH2=0,"năm","lăm"),"sáu","bảy","tám","chín"))</f>
        <v>chín</v>
      </c>
    </row>
    <row r="5" spans="1:35" ht="29.4" customHeight="1" x14ac:dyDescent="0.2">
      <c r="A5" s="35"/>
      <c r="B5" s="35"/>
      <c r="C5" s="178" t="s">
        <v>37</v>
      </c>
      <c r="D5" s="178"/>
      <c r="E5" s="178"/>
      <c r="F5" s="178"/>
      <c r="G5" s="178"/>
      <c r="H5" s="178"/>
      <c r="I5" s="35"/>
      <c r="L5" s="46" t="s">
        <v>103</v>
      </c>
      <c r="V5" s="36"/>
      <c r="W5" s="36"/>
      <c r="X5" s="36" t="str">
        <f>IF(X2=0,"","trăm")</f>
        <v/>
      </c>
      <c r="Y5" s="36" t="str">
        <f>IF(Y2=0,"",IF(Y2=1,"","mươi"))</f>
        <v/>
      </c>
      <c r="Z5" s="36" t="str">
        <f>IF(AND(Z2=0,Z3=0),"","tỷ,")</f>
        <v/>
      </c>
      <c r="AA5" s="36" t="str">
        <f>IF(AA2=0,"","trăm")</f>
        <v/>
      </c>
      <c r="AB5" s="36" t="str">
        <f>IF(AB2=0,"",IF(AB2=1,"","mươi"))</f>
        <v/>
      </c>
      <c r="AC5" s="36" t="str">
        <f>IF(AND(AC2=0,AC3=0),"","triệu,")</f>
        <v/>
      </c>
      <c r="AD5" s="36" t="str">
        <f>IF(AD2=0,"","trăm")</f>
        <v>trăm</v>
      </c>
      <c r="AE5" s="36" t="str">
        <f>IF(AE2=0,"",IF(AE2=1,"","mươi"))</f>
        <v>mươi</v>
      </c>
      <c r="AF5" s="36" t="str">
        <f>IF(AND(AF2=0,AF3=0),"","ngàn,")</f>
        <v>ngàn,</v>
      </c>
      <c r="AG5" s="36" t="str">
        <f>IF(AG2=0,"","trăm")</f>
        <v>trăm</v>
      </c>
      <c r="AH5" s="36" t="str">
        <f>IF(AH2=0,"",IF(AH2=1,"","mươi"))</f>
        <v>mươi</v>
      </c>
      <c r="AI5" s="36"/>
    </row>
    <row r="6" spans="1:35" s="7" customFormat="1" ht="22.2" customHeight="1" x14ac:dyDescent="0.25">
      <c r="A6" s="37" t="s">
        <v>38</v>
      </c>
      <c r="C6" s="179" t="s">
        <v>88</v>
      </c>
      <c r="D6" s="179"/>
      <c r="E6" s="179"/>
      <c r="F6" s="179"/>
      <c r="G6" s="179"/>
      <c r="H6" s="179"/>
      <c r="I6" s="131" t="s">
        <v>105</v>
      </c>
      <c r="J6" s="20"/>
      <c r="L6" s="46" t="s">
        <v>104</v>
      </c>
      <c r="V6" s="39"/>
      <c r="W6" s="40" t="str">
        <f>UPPER(LEFT(TRIM(IF(V1=0,"không đồng.",X4&amp;" "&amp;X5&amp;" "&amp;Y4&amp;" "&amp;Y5&amp;" "&amp;Z4&amp;" "&amp;Z5&amp;" "&amp;AA4&amp;" "&amp;AA5&amp;" "&amp;AB4&amp;" "&amp;AB5&amp;" "&amp;AC4&amp;" "&amp;AC5&amp;" "&amp;AD4&amp;" "&amp;AD5&amp;" "&amp;AE4&amp;" "&amp;AE5&amp;" "&amp;AF4&amp;" "&amp;AF5&amp;" "&amp;AG4&amp;" "&amp;AG5&amp;" "&amp;AH4&amp;" "&amp;AH5&amp;" "&amp;AI4&amp;" "&amp;AI5)),1))&amp;RIGHT(TRIM(IF(V1=0,"không đồng.",X4&amp;" "&amp;X5&amp;" "&amp;Y4&amp;" "&amp;Y5&amp;" "&amp;Z4&amp;" "&amp;Z5&amp;" "&amp;AA4&amp;" "&amp;AA5&amp;" "&amp;AB4&amp;" "&amp;AB5&amp;" "&amp;AC4&amp;" "&amp;AC5&amp;" "&amp;AD4&amp;" "&amp;AD5&amp;" "&amp;AE4&amp;" "&amp;AE5&amp;" "&amp;AF4&amp;" "&amp;AF5&amp;" "&amp;AG4&amp;" "&amp;AG5&amp;" "&amp;AH4&amp;" "&amp;AH5&amp;" "&amp;AI4&amp;" "&amp;AI5)),LEN(TRIM(IF(V1=0,"không đồng.",X4&amp;" "&amp;X5&amp;" "&amp;Y4&amp;" "&amp;Y5&amp;" "&amp;Z4&amp;" "&amp;Z5&amp;" "&amp;AA4&amp;" "&amp;AA5&amp;" "&amp;AB4&amp;" "&amp;AB5&amp;" "&amp;AC4&amp;" "&amp;AC5&amp;" "&amp;AD4&amp;" "&amp;AD5&amp;" "&amp;AE4&amp;" "&amp;AE5&amp;" "&amp;AF4&amp;" "&amp;AF5&amp;" "&amp;AG4&amp;" "&amp;AG5&amp;" "&amp;AH4&amp;" "&amp;AH5&amp;" "&amp;AI4&amp;" "&amp;AI5)))-1)</f>
        <v>Chín trăm tám mươi chín ngàn, ba trăm chín mươi chín</v>
      </c>
      <c r="X6" s="39"/>
      <c r="Y6" s="39"/>
      <c r="Z6" s="39"/>
      <c r="AA6" s="39"/>
      <c r="AB6" s="39"/>
      <c r="AC6" s="39"/>
      <c r="AD6" s="39"/>
      <c r="AE6" s="39"/>
      <c r="AF6" s="39"/>
      <c r="AG6" s="39"/>
      <c r="AH6" s="39"/>
      <c r="AI6" s="39"/>
    </row>
    <row r="7" spans="1:35" s="7" customFormat="1" ht="22.2" customHeight="1" x14ac:dyDescent="0.25">
      <c r="A7" s="37" t="s">
        <v>39</v>
      </c>
      <c r="C7" s="41" t="s">
        <v>91</v>
      </c>
      <c r="D7" s="180"/>
      <c r="E7" s="180"/>
      <c r="F7" s="42"/>
      <c r="I7" s="38" t="s">
        <v>106</v>
      </c>
      <c r="J7" s="20"/>
      <c r="K7" s="43"/>
      <c r="V7" s="39"/>
      <c r="W7" s="44" t="str">
        <f>""&amp;$W$6&amp;" đồng ./."</f>
        <v>Chín trăm tám mươi chín ngàn, ba trăm chín mươi chín đồng ./.</v>
      </c>
      <c r="X7" s="39"/>
      <c r="Y7" s="39"/>
      <c r="Z7" s="39"/>
      <c r="AA7" s="39"/>
      <c r="AB7" s="39"/>
      <c r="AC7" s="39"/>
      <c r="AD7" s="39"/>
      <c r="AE7" s="39"/>
      <c r="AF7" s="39"/>
      <c r="AG7" s="39"/>
      <c r="AH7" s="39"/>
      <c r="AI7" s="39"/>
    </row>
    <row r="8" spans="1:35" s="7" customFormat="1" ht="27.6" customHeight="1" x14ac:dyDescent="0.25">
      <c r="A8" s="37" t="s">
        <v>40</v>
      </c>
      <c r="E8" s="17"/>
      <c r="F8" s="18"/>
      <c r="H8" s="19"/>
      <c r="I8" s="20"/>
      <c r="J8" s="20"/>
    </row>
    <row r="9" spans="1:35" s="77" customFormat="1" ht="43.95" customHeight="1" x14ac:dyDescent="0.25">
      <c r="A9" s="153" t="s">
        <v>9</v>
      </c>
      <c r="B9" s="167" t="s">
        <v>10</v>
      </c>
      <c r="C9" s="167"/>
      <c r="D9" s="101" t="s">
        <v>11</v>
      </c>
      <c r="E9" s="102" t="s">
        <v>12</v>
      </c>
      <c r="F9" s="103" t="s">
        <v>13</v>
      </c>
      <c r="G9" s="101" t="s">
        <v>14</v>
      </c>
      <c r="H9" s="104" t="s">
        <v>15</v>
      </c>
      <c r="I9" s="105" t="s">
        <v>16</v>
      </c>
      <c r="J9" s="105" t="s">
        <v>17</v>
      </c>
      <c r="K9" s="155"/>
    </row>
    <row r="10" spans="1:35" s="77" customFormat="1" ht="108.6" customHeight="1" x14ac:dyDescent="0.25">
      <c r="A10" s="153" t="s">
        <v>64</v>
      </c>
      <c r="B10" s="168" t="s">
        <v>95</v>
      </c>
      <c r="C10" s="169"/>
      <c r="D10" s="169"/>
      <c r="E10" s="169"/>
      <c r="F10" s="169"/>
      <c r="G10" s="169"/>
      <c r="H10" s="169"/>
      <c r="I10" s="169"/>
      <c r="J10" s="170"/>
      <c r="K10" s="156"/>
    </row>
    <row r="11" spans="1:35" s="77" customFormat="1" ht="22.2" customHeight="1" x14ac:dyDescent="0.25">
      <c r="A11" s="153"/>
      <c r="B11" s="165" t="s">
        <v>80</v>
      </c>
      <c r="C11" s="165"/>
      <c r="D11" s="153"/>
      <c r="E11" s="106"/>
      <c r="F11" s="107"/>
      <c r="G11" s="153">
        <f>SUM(G12:G13)</f>
        <v>34</v>
      </c>
      <c r="H11" s="108">
        <f>SUM(H12:H13)</f>
        <v>198.88</v>
      </c>
      <c r="I11" s="109">
        <v>452000</v>
      </c>
      <c r="J11" s="109">
        <f>I11*H11</f>
        <v>89893760</v>
      </c>
      <c r="K11" s="157"/>
    </row>
    <row r="12" spans="1:35" s="77" customFormat="1" ht="22.2" customHeight="1" x14ac:dyDescent="0.25">
      <c r="A12" s="110">
        <v>1</v>
      </c>
      <c r="B12" s="166" t="s">
        <v>84</v>
      </c>
      <c r="C12" s="166"/>
      <c r="D12" s="110" t="s">
        <v>69</v>
      </c>
      <c r="E12" s="111">
        <v>1.1299999999999999</v>
      </c>
      <c r="F12" s="112">
        <v>5</v>
      </c>
      <c r="G12" s="110">
        <v>22</v>
      </c>
      <c r="H12" s="113">
        <f>G12*F12*E12</f>
        <v>124.29999999999998</v>
      </c>
      <c r="I12" s="114">
        <f ca="1">$I$12</f>
        <v>452000</v>
      </c>
      <c r="J12" s="114">
        <f ca="1">I12*H12</f>
        <v>56183599.999999993</v>
      </c>
      <c r="K12" s="158"/>
    </row>
    <row r="13" spans="1:35" s="77" customFormat="1" ht="22.2" customHeight="1" x14ac:dyDescent="0.25">
      <c r="A13" s="110">
        <v>2</v>
      </c>
      <c r="B13" s="166" t="s">
        <v>85</v>
      </c>
      <c r="C13" s="166"/>
      <c r="D13" s="110" t="s">
        <v>69</v>
      </c>
      <c r="E13" s="111">
        <v>1.1299999999999999</v>
      </c>
      <c r="F13" s="112">
        <v>5.5</v>
      </c>
      <c r="G13" s="110">
        <v>12</v>
      </c>
      <c r="H13" s="113">
        <f>G13*F13*E13</f>
        <v>74.58</v>
      </c>
      <c r="I13" s="114">
        <f ca="1">$I$12</f>
        <v>452000</v>
      </c>
      <c r="J13" s="114">
        <f ca="1">I13*H13</f>
        <v>33710160</v>
      </c>
      <c r="K13" s="158"/>
    </row>
    <row r="14" spans="1:35" s="77" customFormat="1" ht="108.6" customHeight="1" x14ac:dyDescent="0.25">
      <c r="A14" s="153" t="s">
        <v>65</v>
      </c>
      <c r="B14" s="162" t="s">
        <v>96</v>
      </c>
      <c r="C14" s="171"/>
      <c r="D14" s="171"/>
      <c r="E14" s="171"/>
      <c r="F14" s="171"/>
      <c r="G14" s="171"/>
      <c r="H14" s="171"/>
      <c r="I14" s="171"/>
      <c r="J14" s="172"/>
      <c r="K14" s="156"/>
    </row>
    <row r="15" spans="1:35" s="77" customFormat="1" ht="22.2" customHeight="1" x14ac:dyDescent="0.25">
      <c r="A15" s="153"/>
      <c r="B15" s="165" t="s">
        <v>81</v>
      </c>
      <c r="C15" s="165"/>
      <c r="D15" s="153"/>
      <c r="E15" s="106"/>
      <c r="F15" s="107"/>
      <c r="G15" s="153">
        <f>SUM(G16:G17)</f>
        <v>16</v>
      </c>
      <c r="H15" s="108">
        <f>SUM(H16:H18)</f>
        <v>86.784000000000006</v>
      </c>
      <c r="I15" s="109">
        <v>162000</v>
      </c>
      <c r="J15" s="109">
        <f>H15*I15</f>
        <v>14059008.000000002</v>
      </c>
      <c r="K15" s="157"/>
    </row>
    <row r="16" spans="1:35" s="77" customFormat="1" ht="22.2" customHeight="1" x14ac:dyDescent="0.25">
      <c r="A16" s="110">
        <v>1</v>
      </c>
      <c r="B16" s="166" t="s">
        <v>84</v>
      </c>
      <c r="C16" s="166"/>
      <c r="D16" s="110" t="s">
        <v>69</v>
      </c>
      <c r="E16" s="111">
        <v>1.08</v>
      </c>
      <c r="F16" s="112">
        <v>6.2</v>
      </c>
      <c r="G16" s="110">
        <v>8</v>
      </c>
      <c r="H16" s="113">
        <f>G16*F16*E16</f>
        <v>53.568000000000005</v>
      </c>
      <c r="I16" s="114">
        <f ca="1">$I$16</f>
        <v>162000</v>
      </c>
      <c r="J16" s="114">
        <f ca="1">I16*H16</f>
        <v>8678016</v>
      </c>
      <c r="K16" s="158"/>
    </row>
    <row r="17" spans="1:14" s="77" customFormat="1" ht="22.2" customHeight="1" x14ac:dyDescent="0.25">
      <c r="A17" s="110">
        <v>2</v>
      </c>
      <c r="B17" s="166" t="s">
        <v>85</v>
      </c>
      <c r="C17" s="166"/>
      <c r="D17" s="110" t="s">
        <v>69</v>
      </c>
      <c r="E17" s="111">
        <v>1.08</v>
      </c>
      <c r="F17" s="112">
        <v>3.15</v>
      </c>
      <c r="G17" s="110">
        <v>8</v>
      </c>
      <c r="H17" s="113">
        <f>G17*F17*E17</f>
        <v>27.216000000000001</v>
      </c>
      <c r="I17" s="114">
        <f ca="1">$I$16</f>
        <v>162000</v>
      </c>
      <c r="J17" s="114">
        <f t="shared" ref="J17" ca="1" si="0">I17*H17</f>
        <v>4408992</v>
      </c>
      <c r="K17" s="158"/>
    </row>
    <row r="18" spans="1:14" s="135" customFormat="1" ht="22.2" customHeight="1" x14ac:dyDescent="0.25">
      <c r="A18" s="110">
        <v>3</v>
      </c>
      <c r="B18" s="166" t="s">
        <v>82</v>
      </c>
      <c r="C18" s="166"/>
      <c r="D18" s="110" t="s">
        <v>69</v>
      </c>
      <c r="E18" s="111"/>
      <c r="F18" s="112"/>
      <c r="G18" s="110"/>
      <c r="H18" s="113">
        <v>6</v>
      </c>
      <c r="I18" s="114">
        <f ca="1">$I$16</f>
        <v>162000</v>
      </c>
      <c r="J18" s="114">
        <f ca="1">I18*H18</f>
        <v>972000</v>
      </c>
      <c r="K18" s="158"/>
    </row>
    <row r="19" spans="1:14" s="77" customFormat="1" ht="39" customHeight="1" x14ac:dyDescent="0.25">
      <c r="A19" s="153" t="s">
        <v>83</v>
      </c>
      <c r="B19" s="162" t="s">
        <v>70</v>
      </c>
      <c r="C19" s="163"/>
      <c r="D19" s="163"/>
      <c r="E19" s="163"/>
      <c r="F19" s="163"/>
      <c r="G19" s="163"/>
      <c r="H19" s="163"/>
      <c r="I19" s="163"/>
      <c r="J19" s="164"/>
      <c r="K19" s="159"/>
    </row>
    <row r="20" spans="1:14" s="77" customFormat="1" ht="22.2" customHeight="1" x14ac:dyDescent="0.25">
      <c r="A20" s="153"/>
      <c r="B20" s="165" t="s">
        <v>81</v>
      </c>
      <c r="C20" s="165"/>
      <c r="D20" s="153"/>
      <c r="E20" s="106"/>
      <c r="F20" s="107"/>
      <c r="G20" s="153">
        <f>SUM(G21:G22)</f>
        <v>21</v>
      </c>
      <c r="H20" s="115">
        <f>SUM(H21:H22)</f>
        <v>84</v>
      </c>
      <c r="I20" s="109"/>
      <c r="J20" s="109">
        <f>SUM(J21:J22)</f>
        <v>4080000</v>
      </c>
      <c r="K20" s="157"/>
    </row>
    <row r="21" spans="1:14" s="77" customFormat="1" ht="22.2" customHeight="1" x14ac:dyDescent="0.25">
      <c r="A21" s="110">
        <v>1</v>
      </c>
      <c r="B21" s="166" t="s">
        <v>97</v>
      </c>
      <c r="C21" s="166"/>
      <c r="D21" s="110" t="s">
        <v>18</v>
      </c>
      <c r="E21" s="111">
        <v>0.4</v>
      </c>
      <c r="F21" s="112">
        <v>4</v>
      </c>
      <c r="G21" s="110">
        <v>15</v>
      </c>
      <c r="H21" s="116">
        <f>G21*F21</f>
        <v>60</v>
      </c>
      <c r="I21" s="114">
        <v>42000</v>
      </c>
      <c r="J21" s="114">
        <f>I21*H21</f>
        <v>2520000</v>
      </c>
      <c r="K21" s="158"/>
    </row>
    <row r="22" spans="1:14" s="77" customFormat="1" ht="22.2" customHeight="1" x14ac:dyDescent="0.25">
      <c r="A22" s="110">
        <v>2</v>
      </c>
      <c r="B22" s="166" t="s">
        <v>98</v>
      </c>
      <c r="C22" s="166"/>
      <c r="D22" s="110" t="s">
        <v>18</v>
      </c>
      <c r="E22" s="111">
        <v>0.6</v>
      </c>
      <c r="F22" s="112">
        <v>4</v>
      </c>
      <c r="G22" s="110">
        <v>6</v>
      </c>
      <c r="H22" s="116">
        <f>G22*F22</f>
        <v>24</v>
      </c>
      <c r="I22" s="114">
        <v>65000</v>
      </c>
      <c r="J22" s="114">
        <f>I22*H22</f>
        <v>1560000</v>
      </c>
      <c r="K22" s="158"/>
    </row>
    <row r="23" spans="1:14" s="77" customFormat="1" ht="22.2" customHeight="1" x14ac:dyDescent="0.25">
      <c r="A23" s="153" t="s">
        <v>19</v>
      </c>
      <c r="B23" s="165" t="s">
        <v>72</v>
      </c>
      <c r="C23" s="165"/>
      <c r="D23" s="165"/>
      <c r="E23" s="165"/>
      <c r="F23" s="165"/>
      <c r="G23" s="165"/>
      <c r="H23" s="165"/>
      <c r="I23" s="165"/>
      <c r="J23" s="117">
        <f>J20+J15+J11</f>
        <v>108032768</v>
      </c>
      <c r="K23" s="157"/>
    </row>
    <row r="24" spans="1:14" s="77" customFormat="1" ht="22.2" customHeight="1" x14ac:dyDescent="0.25">
      <c r="A24" s="153" t="s">
        <v>20</v>
      </c>
      <c r="B24" s="165" t="s">
        <v>73</v>
      </c>
      <c r="C24" s="165"/>
      <c r="D24" s="165"/>
      <c r="E24" s="165"/>
      <c r="F24" s="165"/>
      <c r="G24" s="165"/>
      <c r="H24" s="165"/>
      <c r="I24" s="165"/>
      <c r="J24" s="117">
        <f>(J11)*8%</f>
        <v>7191500.7999999998</v>
      </c>
      <c r="K24" s="157"/>
    </row>
    <row r="25" spans="1:14" s="77" customFormat="1" ht="22.2" customHeight="1" x14ac:dyDescent="0.25">
      <c r="A25" s="153" t="s">
        <v>21</v>
      </c>
      <c r="B25" s="165" t="s">
        <v>74</v>
      </c>
      <c r="C25" s="165"/>
      <c r="D25" s="165"/>
      <c r="E25" s="165"/>
      <c r="F25" s="165"/>
      <c r="G25" s="165"/>
      <c r="H25" s="165"/>
      <c r="I25" s="165"/>
      <c r="J25" s="117">
        <f>(J20+J15)*10%</f>
        <v>1813900.8</v>
      </c>
      <c r="K25" s="157"/>
    </row>
    <row r="26" spans="1:14" s="77" customFormat="1" ht="22.2" customHeight="1" x14ac:dyDescent="0.25">
      <c r="A26" s="153" t="s">
        <v>68</v>
      </c>
      <c r="B26" s="165" t="s">
        <v>75</v>
      </c>
      <c r="C26" s="165"/>
      <c r="D26" s="165"/>
      <c r="E26" s="165"/>
      <c r="F26" s="165"/>
      <c r="G26" s="165"/>
      <c r="H26" s="165"/>
      <c r="I26" s="165"/>
      <c r="J26" s="117">
        <f>J25+J24+J23</f>
        <v>117038169.59999999</v>
      </c>
      <c r="K26" s="157"/>
    </row>
    <row r="27" spans="1:14" s="77" customFormat="1" ht="22.2" customHeight="1" x14ac:dyDescent="0.25">
      <c r="A27" s="174" t="s">
        <v>22</v>
      </c>
      <c r="B27" s="174"/>
      <c r="C27" s="118" t="s">
        <v>99</v>
      </c>
      <c r="D27" s="118"/>
      <c r="E27" s="118"/>
      <c r="F27" s="119"/>
      <c r="G27" s="118"/>
      <c r="H27" s="118"/>
      <c r="I27" s="118"/>
      <c r="J27" s="120"/>
      <c r="K27" s="120"/>
    </row>
    <row r="28" spans="1:14" s="7" customFormat="1" ht="22.2" customHeight="1" x14ac:dyDescent="0.25">
      <c r="A28" s="183" t="s">
        <v>23</v>
      </c>
      <c r="B28" s="183"/>
      <c r="E28" s="17"/>
      <c r="F28" s="18"/>
      <c r="H28" s="19"/>
      <c r="I28" s="20"/>
      <c r="J28" s="21">
        <v>989399</v>
      </c>
      <c r="K28" s="21"/>
      <c r="L28" s="21"/>
      <c r="M28" s="38"/>
      <c r="N28" s="38"/>
    </row>
    <row r="29" spans="1:14" s="23" customFormat="1" ht="18" customHeight="1" x14ac:dyDescent="0.25">
      <c r="A29" s="22" t="s">
        <v>24</v>
      </c>
      <c r="E29" s="24"/>
      <c r="F29" s="25"/>
      <c r="H29" s="26"/>
      <c r="K29" s="181" t="s">
        <v>76</v>
      </c>
    </row>
    <row r="30" spans="1:14" s="23" customFormat="1" ht="18" customHeight="1" x14ac:dyDescent="0.25">
      <c r="A30" s="23" t="s">
        <v>25</v>
      </c>
      <c r="E30" s="23" t="s">
        <v>26</v>
      </c>
      <c r="F30" s="25"/>
      <c r="H30" s="26"/>
      <c r="K30" s="181"/>
    </row>
    <row r="31" spans="1:14" s="23" customFormat="1" ht="18" customHeight="1" x14ac:dyDescent="0.25">
      <c r="A31" s="23" t="s">
        <v>27</v>
      </c>
      <c r="E31" s="23" t="s">
        <v>28</v>
      </c>
      <c r="F31" s="25"/>
      <c r="H31" s="26"/>
      <c r="K31" s="181"/>
    </row>
    <row r="32" spans="1:14" s="23" customFormat="1" ht="18" customHeight="1" x14ac:dyDescent="0.25">
      <c r="A32" s="23" t="str">
        <f>'1.Báo giá'!A33</f>
        <v>6. Giá trên chưa bao gồm vận chuyển.</v>
      </c>
      <c r="E32" s="24"/>
      <c r="F32" s="25"/>
      <c r="H32" s="26"/>
      <c r="K32" s="181"/>
    </row>
    <row r="33" spans="1:16" s="11" customFormat="1" ht="25.95" customHeight="1" x14ac:dyDescent="0.25">
      <c r="A33" s="37" t="s">
        <v>41</v>
      </c>
      <c r="E33" s="45"/>
      <c r="F33" s="12"/>
      <c r="H33" s="15"/>
      <c r="I33" s="38"/>
      <c r="J33" s="38"/>
      <c r="K33" s="181"/>
      <c r="L33" s="38"/>
      <c r="M33" s="38"/>
      <c r="N33" s="38"/>
      <c r="O33" s="38"/>
      <c r="P33" s="38"/>
    </row>
    <row r="34" spans="1:16" s="11" customFormat="1" ht="22.2" customHeight="1" x14ac:dyDescent="0.25">
      <c r="A34" s="136" t="s">
        <v>42</v>
      </c>
      <c r="B34" s="136"/>
      <c r="C34" s="137" t="s">
        <v>107</v>
      </c>
      <c r="D34" s="137"/>
      <c r="E34" s="138" t="s">
        <v>43</v>
      </c>
      <c r="F34" s="137"/>
      <c r="G34" s="137"/>
      <c r="H34" s="188">
        <v>46188</v>
      </c>
      <c r="I34" s="189"/>
      <c r="J34" s="139"/>
      <c r="K34" s="38"/>
      <c r="N34" s="38"/>
      <c r="O34" s="38"/>
      <c r="P34" s="38"/>
    </row>
    <row r="35" spans="1:16" s="11" customFormat="1" ht="22.2" customHeight="1" x14ac:dyDescent="0.25">
      <c r="A35" s="136" t="s">
        <v>44</v>
      </c>
      <c r="B35" s="136"/>
      <c r="C35" s="137" t="s">
        <v>45</v>
      </c>
      <c r="D35" s="137"/>
      <c r="E35" s="136" t="s">
        <v>46</v>
      </c>
      <c r="F35" s="137"/>
      <c r="G35" s="140"/>
      <c r="H35" s="190" t="s">
        <v>47</v>
      </c>
      <c r="I35" s="190"/>
      <c r="J35" s="190"/>
    </row>
    <row r="36" spans="1:16" s="11" customFormat="1" ht="22.2" customHeight="1" x14ac:dyDescent="0.25">
      <c r="A36" s="138" t="s">
        <v>48</v>
      </c>
      <c r="B36" s="136"/>
      <c r="C36" s="137" t="s">
        <v>108</v>
      </c>
      <c r="D36" s="137"/>
      <c r="E36" s="136" t="s">
        <v>49</v>
      </c>
      <c r="F36" s="137"/>
      <c r="G36" s="137"/>
      <c r="H36" s="188">
        <v>46190</v>
      </c>
      <c r="I36" s="189"/>
      <c r="J36" s="139"/>
    </row>
    <row r="37" spans="1:16" s="11" customFormat="1" ht="22.2" customHeight="1" x14ac:dyDescent="0.25">
      <c r="A37" s="136" t="s">
        <v>50</v>
      </c>
      <c r="B37" s="136"/>
      <c r="C37" s="141" t="s">
        <v>110</v>
      </c>
      <c r="D37" s="137"/>
      <c r="E37" s="142"/>
      <c r="F37" s="142"/>
      <c r="G37" s="142"/>
      <c r="H37" s="182"/>
      <c r="I37" s="182"/>
      <c r="J37" s="139"/>
      <c r="K37" s="11" t="s">
        <v>109</v>
      </c>
    </row>
    <row r="38" spans="1:16" s="11" customFormat="1" ht="22.2" customHeight="1" x14ac:dyDescent="0.25">
      <c r="A38" s="136" t="s">
        <v>77</v>
      </c>
      <c r="B38" s="136"/>
      <c r="C38" s="191" t="s">
        <v>111</v>
      </c>
      <c r="D38" s="137"/>
      <c r="E38" s="143"/>
      <c r="F38" s="144"/>
      <c r="G38" s="137"/>
      <c r="H38" s="145"/>
      <c r="I38" s="139"/>
      <c r="J38" s="139"/>
    </row>
    <row r="39" spans="1:16" s="11" customFormat="1" ht="22.2" customHeight="1" x14ac:dyDescent="0.25">
      <c r="A39" s="138" t="s">
        <v>78</v>
      </c>
      <c r="B39" s="136"/>
      <c r="C39" s="146" t="s">
        <v>51</v>
      </c>
      <c r="D39" s="146"/>
      <c r="E39" s="146"/>
      <c r="F39" s="146"/>
      <c r="G39" s="146"/>
      <c r="H39" s="146"/>
      <c r="I39" s="146"/>
      <c r="J39" s="139"/>
    </row>
    <row r="40" spans="1:16" s="46" customFormat="1" ht="22.2" customHeight="1" x14ac:dyDescent="0.25">
      <c r="A40" s="138" t="s">
        <v>79</v>
      </c>
      <c r="B40" s="136"/>
      <c r="C40" s="147" t="s">
        <v>112</v>
      </c>
      <c r="D40" s="147"/>
      <c r="E40" s="147"/>
      <c r="F40" s="147"/>
      <c r="G40" s="147"/>
      <c r="H40" s="147"/>
      <c r="I40" s="147"/>
      <c r="J40" s="148"/>
    </row>
    <row r="41" spans="1:16" s="27" customFormat="1" ht="22.2" customHeight="1" x14ac:dyDescent="0.25">
      <c r="B41" s="37" t="s">
        <v>52</v>
      </c>
      <c r="E41" s="47"/>
      <c r="F41" s="48"/>
      <c r="I41" s="28" t="s">
        <v>53</v>
      </c>
      <c r="J41" s="49"/>
    </row>
    <row r="42" spans="1:16" ht="22.2" customHeight="1" x14ac:dyDescent="0.25">
      <c r="I42" s="4"/>
    </row>
    <row r="43" spans="1:16" ht="22.2" customHeight="1" x14ac:dyDescent="0.25">
      <c r="I43" s="4"/>
    </row>
    <row r="44" spans="1:16" ht="22.2" customHeight="1" x14ac:dyDescent="0.25">
      <c r="I44" s="4"/>
    </row>
    <row r="45" spans="1:16" ht="22.2" customHeight="1" x14ac:dyDescent="0.25">
      <c r="I45" s="50" t="str">
        <f>'1.Báo giá'!I41</f>
        <v>Mr Long - 0978349917</v>
      </c>
    </row>
    <row r="46" spans="1:16" ht="22.2" customHeight="1" x14ac:dyDescent="0.25">
      <c r="I46" s="4"/>
    </row>
  </sheetData>
  <mergeCells count="29">
    <mergeCell ref="B25:I25"/>
    <mergeCell ref="B26:I26"/>
    <mergeCell ref="A27:B27"/>
    <mergeCell ref="B20:C20"/>
    <mergeCell ref="B21:C21"/>
    <mergeCell ref="B22:C22"/>
    <mergeCell ref="B23:I23"/>
    <mergeCell ref="B24:I24"/>
    <mergeCell ref="H37:I37"/>
    <mergeCell ref="A28:B28"/>
    <mergeCell ref="H34:I34"/>
    <mergeCell ref="H35:J35"/>
    <mergeCell ref="H36:I36"/>
    <mergeCell ref="I4:J4"/>
    <mergeCell ref="C5:H5"/>
    <mergeCell ref="C6:H6"/>
    <mergeCell ref="D7:E7"/>
    <mergeCell ref="K29:K33"/>
    <mergeCell ref="B9:C9"/>
    <mergeCell ref="B10:J10"/>
    <mergeCell ref="B11:C11"/>
    <mergeCell ref="B12:C12"/>
    <mergeCell ref="B13:C13"/>
    <mergeCell ref="B14:J14"/>
    <mergeCell ref="B15:C15"/>
    <mergeCell ref="B16:C16"/>
    <mergeCell ref="B17:C17"/>
    <mergeCell ref="B18:C18"/>
    <mergeCell ref="B19:J19"/>
  </mergeCells>
  <dataValidations count="6">
    <dataValidation type="list" allowBlank="1" showInputMessage="1" showErrorMessage="1" sqref="C5:H5" xr:uid="{D92A256F-C43F-4E5F-B1B5-3F22D2D9A066}">
      <formula1>"LỆNH SẢN XUẤT, DỰ TRÙ SẢN XUẤT"</formula1>
    </dataValidation>
    <dataValidation type="list" allowBlank="1" showInputMessage="1" showErrorMessage="1" sqref="H35:J35" xr:uid="{7686D8D3-7C37-413D-A77E-08A698EDA3DE}">
      <formula1>"Không in thông tin nhà máy, In thông tin nhà máy.,…"</formula1>
    </dataValidation>
    <dataValidation type="list" allowBlank="1" showInputMessage="1" showErrorMessage="1" sqref="C39" xr:uid="{3ED8EB45-9469-4EFE-A23D-7660E8239D47}">
      <formula1>"Nghiệm thu &gt;&gt; Thanh toán &gt;&gt; Kinh doanh báo mới tiến hành Hạ hàng tại công trình hoặc xuất hàng tại Nhà máy., Theo Hợp đồng Kinh tế"</formula1>
    </dataValidation>
    <dataValidation type="list" allowBlank="1" showInputMessage="1" showErrorMessage="1" sqref="C34" xr:uid="{ADBA930F-ED61-4186-A772-BBB574228F09}">
      <formula1>"tại Nhà máy Phú Sơn, tại công trình"</formula1>
    </dataValidation>
    <dataValidation type="list" allowBlank="1" showInputMessage="1" showErrorMessage="1" sqref="C36" xr:uid="{3DC25A10-2585-47C5-BE8E-7FDA925D8B30}">
      <formula1>"Phiếu xuất kho nhà máy., Phiếu xuất kho của Khách hàng."</formula1>
    </dataValidation>
    <dataValidation type="list" allowBlank="1" showInputMessage="1" showErrorMessage="1" sqref="C35" xr:uid="{34976884-60AD-4078-9E7F-5B0C64AC5AD2}">
      <formula1>"Nhà máy vận chuyển. , Khách hàng tự vận chuyển."</formula1>
    </dataValidation>
  </dataValidations>
  <hyperlinks>
    <hyperlink ref="E3" r:id="rId1" tooltip="www.panelphuson.vn" xr:uid="{2C153069-98DA-4009-BBBD-93754F93BF18}"/>
    <hyperlink ref="H3" r:id="rId2" xr:uid="{70A0C6A1-F9D0-496F-B129-52CB7B1CF3B2}"/>
  </hyperlinks>
  <pageMargins left="0.51181102362204722" right="0.35" top="0.51181102362204722" bottom="0.43307086614173229" header="0.31496062992125984" footer="0.15748031496062992"/>
  <pageSetup paperSize="9" scale="80" orientation="portrait" r:id="rId3"/>
  <headerFooter>
    <oddFooter>&amp;R&amp;P</oddFooter>
  </headerFooter>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C553-54B3-4411-9AE2-875F0F5FC39C}">
  <sheetPr>
    <tabColor theme="9" tint="-0.249977111117893"/>
  </sheetPr>
  <dimension ref="A1:K35"/>
  <sheetViews>
    <sheetView tabSelected="1" topLeftCell="A16" zoomScaleNormal="100" workbookViewId="0">
      <selection activeCell="P18" sqref="P18"/>
    </sheetView>
  </sheetViews>
  <sheetFormatPr defaultColWidth="8.88671875" defaultRowHeight="22.2" customHeight="1" x14ac:dyDescent="0.25"/>
  <cols>
    <col min="1" max="1" width="5.6640625" style="1" customWidth="1"/>
    <col min="2" max="2" width="8.88671875" style="1" customWidth="1"/>
    <col min="3" max="3" width="41" style="1" customWidth="1"/>
    <col min="4" max="4" width="7.88671875" style="1" customWidth="1"/>
    <col min="5" max="5" width="11.33203125" style="2" hidden="1" customWidth="1"/>
    <col min="6" max="6" width="9.6640625" style="3" customWidth="1"/>
    <col min="7" max="7" width="11.5546875" style="1" customWidth="1"/>
    <col min="8" max="8" width="13.88671875" style="4" customWidth="1"/>
    <col min="9" max="9" width="14.6640625" style="5" hidden="1" customWidth="1"/>
    <col min="10" max="10" width="10.6640625" style="1" hidden="1" customWidth="1"/>
    <col min="11" max="31" width="10.6640625" style="1" customWidth="1"/>
    <col min="32" max="16384" width="8.88671875" style="1"/>
  </cols>
  <sheetData>
    <row r="1" spans="1:11" ht="22.2" customHeight="1" x14ac:dyDescent="0.25">
      <c r="C1" s="133" t="s">
        <v>0</v>
      </c>
    </row>
    <row r="2" spans="1:11" s="10" customFormat="1" ht="22.2" customHeight="1" x14ac:dyDescent="0.25">
      <c r="C2" s="11" t="s">
        <v>1</v>
      </c>
      <c r="D2" s="11"/>
      <c r="E2" s="11"/>
      <c r="F2" s="11"/>
      <c r="G2" s="11"/>
      <c r="H2" s="11"/>
    </row>
    <row r="3" spans="1:11" s="10" customFormat="1" ht="22.2" customHeight="1" x14ac:dyDescent="0.25">
      <c r="C3" s="11" t="s">
        <v>54</v>
      </c>
      <c r="D3" s="13"/>
      <c r="E3" s="51"/>
      <c r="F3" s="13"/>
      <c r="G3" s="13"/>
      <c r="H3" s="13"/>
      <c r="I3" s="14"/>
    </row>
    <row r="4" spans="1:11" ht="28.2" customHeight="1" x14ac:dyDescent="0.25">
      <c r="A4" s="178" t="s">
        <v>55</v>
      </c>
      <c r="B4" s="178"/>
      <c r="C4" s="178"/>
      <c r="D4" s="178"/>
      <c r="E4" s="178"/>
      <c r="F4" s="178"/>
      <c r="G4" s="178"/>
      <c r="H4" s="178"/>
    </row>
    <row r="5" spans="1:11" s="7" customFormat="1" ht="19.95" customHeight="1" x14ac:dyDescent="0.25">
      <c r="C5" s="184" t="str">
        <f ca="1">"                               Ngày "&amp;DAY(TODAY())&amp;" tháng "&amp; MONTH(TODAY())&amp;" năm " &amp;YEAR(TODAY())</f>
        <v xml:space="preserve">                               Ngày 9 tháng 6 năm 2026</v>
      </c>
      <c r="D5" s="184"/>
      <c r="E5" s="184"/>
      <c r="F5" s="184"/>
      <c r="G5" s="29" t="s">
        <v>56</v>
      </c>
      <c r="H5" s="52" t="str">
        <f>'2. Lệnh sản xuất nội bộ '!$D$4&amp;"/PS"</f>
        <v>6508/PS</v>
      </c>
      <c r="I5" s="20"/>
    </row>
    <row r="6" spans="1:11" s="7" customFormat="1" ht="19.95" customHeight="1" x14ac:dyDescent="0.25">
      <c r="A6" s="37" t="s">
        <v>38</v>
      </c>
      <c r="C6" s="185" t="str">
        <f>'2. Lệnh sản xuất nội bộ '!C6:H6</f>
        <v>Công ty CP Giải pháp Cách nhiệt Việt Nam</v>
      </c>
      <c r="D6" s="185"/>
      <c r="E6" s="185"/>
      <c r="F6" s="185"/>
      <c r="G6" s="185"/>
      <c r="H6" s="185"/>
      <c r="I6" s="38"/>
    </row>
    <row r="7" spans="1:11" s="7" customFormat="1" ht="19.95" customHeight="1" x14ac:dyDescent="0.25">
      <c r="A7" s="37" t="s">
        <v>6</v>
      </c>
      <c r="C7" s="185" t="s">
        <v>115</v>
      </c>
      <c r="D7" s="185"/>
      <c r="E7" s="185"/>
      <c r="F7" s="185"/>
      <c r="G7" s="185"/>
      <c r="H7" s="185"/>
      <c r="I7" s="38"/>
    </row>
    <row r="8" spans="1:11" s="7" customFormat="1" ht="19.95" customHeight="1" x14ac:dyDescent="0.25">
      <c r="A8" s="37" t="s">
        <v>57</v>
      </c>
      <c r="C8" s="195">
        <f>'2. Lệnh sản xuất nội bộ '!H36</f>
        <v>46190</v>
      </c>
      <c r="D8" s="53" t="s">
        <v>58</v>
      </c>
      <c r="E8" s="54"/>
      <c r="G8" s="185" t="str">
        <f>'2. Lệnh sản xuất nội bộ '!C37</f>
        <v>Mr Thuyết - 0955123654</v>
      </c>
      <c r="H8" s="185"/>
      <c r="I8" s="38"/>
    </row>
    <row r="9" spans="1:11" s="7" customFormat="1" ht="19.95" customHeight="1" x14ac:dyDescent="0.25">
      <c r="A9" s="37" t="s">
        <v>59</v>
      </c>
      <c r="C9" s="185" t="str">
        <f>'2. Lệnh sản xuất nội bộ '!C38</f>
        <v>Lô 4 CN6 - Khu công nghiệp Sông Công II - Thái Nguyên</v>
      </c>
      <c r="D9" s="185"/>
      <c r="E9" s="185"/>
      <c r="F9" s="185"/>
      <c r="G9" s="185"/>
      <c r="H9" s="185"/>
      <c r="I9" s="38"/>
    </row>
    <row r="10" spans="1:11" s="7" customFormat="1" ht="23.4" customHeight="1" x14ac:dyDescent="0.25">
      <c r="A10" s="37" t="s">
        <v>60</v>
      </c>
      <c r="C10" s="54" t="str">
        <f>'1.Báo giá'!I8</f>
        <v>Mr Long - 0978349917</v>
      </c>
      <c r="D10" s="53"/>
      <c r="G10" s="55"/>
      <c r="H10" s="56"/>
      <c r="I10" s="38"/>
    </row>
    <row r="11" spans="1:11" ht="10.95" customHeight="1" x14ac:dyDescent="0.25">
      <c r="J11" s="7"/>
    </row>
    <row r="12" spans="1:11" s="77" customFormat="1" ht="43.95" customHeight="1" x14ac:dyDescent="0.25">
      <c r="A12" s="153" t="s">
        <v>9</v>
      </c>
      <c r="B12" s="167" t="s">
        <v>10</v>
      </c>
      <c r="C12" s="167"/>
      <c r="D12" s="101" t="s">
        <v>11</v>
      </c>
      <c r="E12" s="102" t="s">
        <v>12</v>
      </c>
      <c r="F12" s="103" t="s">
        <v>13</v>
      </c>
      <c r="G12" s="101" t="s">
        <v>14</v>
      </c>
      <c r="H12" s="104" t="s">
        <v>15</v>
      </c>
      <c r="I12" s="105" t="s">
        <v>16</v>
      </c>
      <c r="J12" s="105" t="s">
        <v>17</v>
      </c>
      <c r="K12" s="155"/>
    </row>
    <row r="13" spans="1:11" s="77" customFormat="1" ht="108.6" customHeight="1" x14ac:dyDescent="0.25">
      <c r="A13" s="153" t="s">
        <v>64</v>
      </c>
      <c r="B13" s="194" t="s">
        <v>95</v>
      </c>
      <c r="C13" s="194"/>
      <c r="D13" s="194"/>
      <c r="E13" s="194"/>
      <c r="F13" s="194"/>
      <c r="G13" s="194"/>
      <c r="H13" s="194"/>
      <c r="I13" s="192"/>
      <c r="J13" s="193"/>
      <c r="K13" s="156"/>
    </row>
    <row r="14" spans="1:11" s="77" customFormat="1" ht="22.2" customHeight="1" x14ac:dyDescent="0.25">
      <c r="A14" s="153"/>
      <c r="B14" s="165"/>
      <c r="C14" s="165"/>
      <c r="D14" s="153"/>
      <c r="E14" s="106"/>
      <c r="F14" s="107"/>
      <c r="G14" s="153">
        <f>SUM(G15:G16)</f>
        <v>34</v>
      </c>
      <c r="H14" s="108">
        <f>SUM(H15:H16)</f>
        <v>198.88</v>
      </c>
      <c r="I14" s="109">
        <v>452000</v>
      </c>
      <c r="J14" s="109">
        <f>I14*H14</f>
        <v>89893760</v>
      </c>
      <c r="K14" s="157"/>
    </row>
    <row r="15" spans="1:11" s="77" customFormat="1" ht="22.2" customHeight="1" x14ac:dyDescent="0.25">
      <c r="A15" s="110">
        <v>1</v>
      </c>
      <c r="B15" s="166" t="s">
        <v>84</v>
      </c>
      <c r="C15" s="166"/>
      <c r="D15" s="110" t="s">
        <v>69</v>
      </c>
      <c r="E15" s="111">
        <v>1.1299999999999999</v>
      </c>
      <c r="F15" s="112">
        <v>5</v>
      </c>
      <c r="G15" s="110">
        <v>22</v>
      </c>
      <c r="H15" s="113">
        <f>G15*F15*E15</f>
        <v>124.29999999999998</v>
      </c>
      <c r="I15" s="114" t="str">
        <f>$I$12</f>
        <v>Đơn giá
(VNĐ)</v>
      </c>
      <c r="J15" s="114" t="e">
        <f>I15*H15</f>
        <v>#VALUE!</v>
      </c>
      <c r="K15" s="158"/>
    </row>
    <row r="16" spans="1:11" s="77" customFormat="1" ht="22.2" customHeight="1" x14ac:dyDescent="0.25">
      <c r="A16" s="110">
        <v>2</v>
      </c>
      <c r="B16" s="166" t="s">
        <v>85</v>
      </c>
      <c r="C16" s="166"/>
      <c r="D16" s="110" t="s">
        <v>69</v>
      </c>
      <c r="E16" s="111">
        <v>1.1299999999999999</v>
      </c>
      <c r="F16" s="112">
        <v>5.5</v>
      </c>
      <c r="G16" s="110">
        <v>12</v>
      </c>
      <c r="H16" s="113">
        <f>G16*F16*E16</f>
        <v>74.58</v>
      </c>
      <c r="I16" s="114" t="str">
        <f>$I$12</f>
        <v>Đơn giá
(VNĐ)</v>
      </c>
      <c r="J16" s="114" t="e">
        <f>I16*H16</f>
        <v>#VALUE!</v>
      </c>
      <c r="K16" s="158"/>
    </row>
    <row r="17" spans="1:11" s="77" customFormat="1" ht="108.6" customHeight="1" x14ac:dyDescent="0.25">
      <c r="A17" s="153" t="s">
        <v>65</v>
      </c>
      <c r="B17" s="194" t="s">
        <v>113</v>
      </c>
      <c r="C17" s="194"/>
      <c r="D17" s="194"/>
      <c r="E17" s="194"/>
      <c r="F17" s="194"/>
      <c r="G17" s="194"/>
      <c r="H17" s="194"/>
      <c r="I17" s="194"/>
      <c r="J17" s="194"/>
      <c r="K17" s="156"/>
    </row>
    <row r="18" spans="1:11" s="77" customFormat="1" ht="22.2" customHeight="1" x14ac:dyDescent="0.25">
      <c r="A18" s="153"/>
      <c r="B18" s="165"/>
      <c r="C18" s="165"/>
      <c r="D18" s="153"/>
      <c r="E18" s="106"/>
      <c r="F18" s="107"/>
      <c r="G18" s="153">
        <f>SUM(G19:G20)</f>
        <v>16</v>
      </c>
      <c r="H18" s="108">
        <f>SUM(H19:H21)</f>
        <v>86.784000000000006</v>
      </c>
      <c r="I18" s="109">
        <v>162000</v>
      </c>
      <c r="J18" s="109">
        <f>H18*I18</f>
        <v>14059008.000000002</v>
      </c>
      <c r="K18" s="157"/>
    </row>
    <row r="19" spans="1:11" s="77" customFormat="1" ht="22.2" customHeight="1" x14ac:dyDescent="0.25">
      <c r="A19" s="110">
        <v>1</v>
      </c>
      <c r="B19" s="166" t="s">
        <v>84</v>
      </c>
      <c r="C19" s="166"/>
      <c r="D19" s="110" t="s">
        <v>69</v>
      </c>
      <c r="E19" s="111">
        <v>1.08</v>
      </c>
      <c r="F19" s="112">
        <v>6.2</v>
      </c>
      <c r="G19" s="110">
        <v>8</v>
      </c>
      <c r="H19" s="113">
        <f>G19*F19*E19</f>
        <v>53.568000000000005</v>
      </c>
      <c r="I19" s="114" t="str">
        <f>$I$16</f>
        <v>Đơn giá
(VNĐ)</v>
      </c>
      <c r="J19" s="114" t="e">
        <f>I19*H19</f>
        <v>#VALUE!</v>
      </c>
      <c r="K19" s="158"/>
    </row>
    <row r="20" spans="1:11" s="77" customFormat="1" ht="22.2" customHeight="1" x14ac:dyDescent="0.25">
      <c r="A20" s="110">
        <v>2</v>
      </c>
      <c r="B20" s="166" t="s">
        <v>85</v>
      </c>
      <c r="C20" s="166"/>
      <c r="D20" s="110" t="s">
        <v>69</v>
      </c>
      <c r="E20" s="111">
        <v>1.08</v>
      </c>
      <c r="F20" s="112">
        <v>3.15</v>
      </c>
      <c r="G20" s="110">
        <v>8</v>
      </c>
      <c r="H20" s="113">
        <f>G20*F20*E20</f>
        <v>27.216000000000001</v>
      </c>
      <c r="I20" s="114" t="str">
        <f>$I$16</f>
        <v>Đơn giá
(VNĐ)</v>
      </c>
      <c r="J20" s="114" t="e">
        <f t="shared" ref="J20" si="0">I20*H20</f>
        <v>#VALUE!</v>
      </c>
      <c r="K20" s="158"/>
    </row>
    <row r="21" spans="1:11" s="135" customFormat="1" ht="22.2" customHeight="1" x14ac:dyDescent="0.25">
      <c r="A21" s="110">
        <v>3</v>
      </c>
      <c r="B21" s="166" t="s">
        <v>82</v>
      </c>
      <c r="C21" s="166"/>
      <c r="D21" s="110" t="s">
        <v>69</v>
      </c>
      <c r="E21" s="111"/>
      <c r="F21" s="112"/>
      <c r="G21" s="110"/>
      <c r="H21" s="113">
        <v>6</v>
      </c>
      <c r="I21" s="114" t="str">
        <f>$I$16</f>
        <v>Đơn giá
(VNĐ)</v>
      </c>
      <c r="J21" s="114" t="e">
        <f>I21*H21</f>
        <v>#VALUE!</v>
      </c>
      <c r="K21" s="158"/>
    </row>
    <row r="22" spans="1:11" s="77" customFormat="1" ht="39" customHeight="1" x14ac:dyDescent="0.25">
      <c r="A22" s="153" t="s">
        <v>83</v>
      </c>
      <c r="B22" s="194" t="s">
        <v>114</v>
      </c>
      <c r="C22" s="194"/>
      <c r="D22" s="194"/>
      <c r="E22" s="194"/>
      <c r="F22" s="194"/>
      <c r="G22" s="194"/>
      <c r="H22" s="194"/>
      <c r="I22" s="194"/>
      <c r="J22" s="194"/>
      <c r="K22" s="159"/>
    </row>
    <row r="23" spans="1:11" s="77" customFormat="1" ht="22.2" customHeight="1" x14ac:dyDescent="0.25">
      <c r="A23" s="153"/>
      <c r="B23" s="165"/>
      <c r="C23" s="165"/>
      <c r="D23" s="153"/>
      <c r="E23" s="106"/>
      <c r="F23" s="107"/>
      <c r="G23" s="153">
        <f>SUM(G24:G25)</f>
        <v>21</v>
      </c>
      <c r="H23" s="115">
        <f>SUM(H24:H25)</f>
        <v>84</v>
      </c>
      <c r="I23" s="109"/>
      <c r="J23" s="109">
        <f>SUM(J24:J25)</f>
        <v>4080000</v>
      </c>
      <c r="K23" s="157"/>
    </row>
    <row r="24" spans="1:11" s="77" customFormat="1" ht="22.2" customHeight="1" x14ac:dyDescent="0.25">
      <c r="A24" s="110">
        <v>1</v>
      </c>
      <c r="B24" s="166" t="s">
        <v>97</v>
      </c>
      <c r="C24" s="166"/>
      <c r="D24" s="110" t="s">
        <v>18</v>
      </c>
      <c r="E24" s="111">
        <v>0.4</v>
      </c>
      <c r="F24" s="112">
        <v>4</v>
      </c>
      <c r="G24" s="110">
        <v>15</v>
      </c>
      <c r="H24" s="116">
        <f>G24*F24</f>
        <v>60</v>
      </c>
      <c r="I24" s="114">
        <v>42000</v>
      </c>
      <c r="J24" s="114">
        <f>I24*H24</f>
        <v>2520000</v>
      </c>
      <c r="K24" s="158"/>
    </row>
    <row r="25" spans="1:11" s="77" customFormat="1" ht="22.2" customHeight="1" x14ac:dyDescent="0.25">
      <c r="A25" s="110">
        <v>2</v>
      </c>
      <c r="B25" s="166" t="s">
        <v>98</v>
      </c>
      <c r="C25" s="166"/>
      <c r="D25" s="110" t="s">
        <v>18</v>
      </c>
      <c r="E25" s="111">
        <v>0.6</v>
      </c>
      <c r="F25" s="112">
        <v>4</v>
      </c>
      <c r="G25" s="110">
        <v>6</v>
      </c>
      <c r="H25" s="116">
        <f>G25*F25</f>
        <v>24</v>
      </c>
      <c r="I25" s="114">
        <v>65000</v>
      </c>
      <c r="J25" s="114">
        <f>I25*H25</f>
        <v>1560000</v>
      </c>
      <c r="K25" s="158"/>
    </row>
    <row r="26" spans="1:11" s="5" customFormat="1" ht="10.95" customHeight="1" x14ac:dyDescent="0.25">
      <c r="J26" s="7"/>
    </row>
    <row r="27" spans="1:11" s="57" customFormat="1" ht="22.2" customHeight="1" x14ac:dyDescent="0.25">
      <c r="A27" s="16" t="s">
        <v>61</v>
      </c>
      <c r="E27" s="58"/>
      <c r="F27" s="59"/>
      <c r="H27" s="50"/>
      <c r="J27" s="7"/>
    </row>
    <row r="28" spans="1:11" s="61" customFormat="1" ht="22.2" customHeight="1" x14ac:dyDescent="0.25">
      <c r="A28" s="60" t="s">
        <v>62</v>
      </c>
      <c r="E28" s="62"/>
      <c r="F28" s="63"/>
      <c r="H28" s="64"/>
      <c r="I28" s="65"/>
      <c r="J28" s="7"/>
    </row>
    <row r="29" spans="1:11" s="67" customFormat="1" ht="22.2" customHeight="1" x14ac:dyDescent="0.25">
      <c r="A29" s="66" t="s">
        <v>63</v>
      </c>
      <c r="E29" s="68"/>
      <c r="F29" s="69"/>
      <c r="H29" s="70"/>
      <c r="I29" s="71"/>
    </row>
    <row r="35" spans="9:9" ht="22.2" customHeight="1" x14ac:dyDescent="0.25">
      <c r="I35" s="4">
        <f>2.3+2.13+2.1+2.2</f>
        <v>8.73</v>
      </c>
    </row>
  </sheetData>
  <mergeCells count="22">
    <mergeCell ref="B21:C21"/>
    <mergeCell ref="B23:C23"/>
    <mergeCell ref="B24:C24"/>
    <mergeCell ref="B25:C25"/>
    <mergeCell ref="B22:H22"/>
    <mergeCell ref="I22:J22"/>
    <mergeCell ref="B16:C16"/>
    <mergeCell ref="B18:C18"/>
    <mergeCell ref="B19:C19"/>
    <mergeCell ref="B20:C20"/>
    <mergeCell ref="B17:H17"/>
    <mergeCell ref="I17:J17"/>
    <mergeCell ref="C9:H9"/>
    <mergeCell ref="B12:C12"/>
    <mergeCell ref="B14:C14"/>
    <mergeCell ref="B15:C15"/>
    <mergeCell ref="B13:H13"/>
    <mergeCell ref="A4:H4"/>
    <mergeCell ref="C5:F5"/>
    <mergeCell ref="C6:H6"/>
    <mergeCell ref="C7:H7"/>
    <mergeCell ref="G8:H8"/>
  </mergeCells>
  <pageMargins left="0.70866141732283472" right="0.35433070866141736" top="0.51181102362204722" bottom="0.43307086614173229" header="0.31496062992125984" footer="0.15748031496062992"/>
  <pageSetup paperSize="9" scale="92" orientation="portrait" r:id="rId1"/>
  <headerFooter>
    <oddFooter>&amp;R&amp;P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1.Báo giá</vt:lpstr>
      <vt:lpstr>2. Lệnh sản xuất nội bộ </vt:lpstr>
      <vt:lpstr>3. Lệnh sản xuất kiêm PXK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Phong</dc:creator>
  <cp:lastModifiedBy>Tran Phong</cp:lastModifiedBy>
  <cp:lastPrinted>2026-06-09T15:25:00Z</cp:lastPrinted>
  <dcterms:created xsi:type="dcterms:W3CDTF">2026-05-04T02:58:05Z</dcterms:created>
  <dcterms:modified xsi:type="dcterms:W3CDTF">2026-06-09T15:25:51Z</dcterms:modified>
</cp:coreProperties>
</file>