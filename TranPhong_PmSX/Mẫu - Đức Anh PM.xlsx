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Test\"/>
    </mc:Choice>
  </mc:AlternateContent>
  <xr:revisionPtr revIDLastSave="0" documentId="13_ncr:1_{57B5173F-C866-463C-A2E7-E11519ED8686}" xr6:coauthVersionLast="41" xr6:coauthVersionMax="41" xr10:uidLastSave="{00000000-0000-0000-0000-000000000000}"/>
  <bookViews>
    <workbookView xWindow="-108" yWindow="-108" windowWidth="23256" windowHeight="12456" activeTab="2" xr2:uid="{2DBB1494-5A28-48C1-9D2B-631ED1F4B5FC}"/>
  </bookViews>
  <sheets>
    <sheet name="1.KH" sheetId="1" r:id="rId1"/>
    <sheet name="2.Báo giá" sheetId="2" r:id="rId2"/>
    <sheet name="4.LSX-Nội bộ" sheetId="3" r:id="rId3"/>
    <sheet name="4.LSX-PXK" sheetId="4" r:id="rId4"/>
  </sheets>
  <definedNames>
    <definedName name="___NSO2">{"'Sheet1'!$L$16"}</definedName>
    <definedName name="__a1">{"'Sheet1'!$L$16"}</definedName>
    <definedName name="__h1">{"'Sheet1'!$L$16"}</definedName>
    <definedName name="__hu1">{"'Sheet1'!$L$16"}</definedName>
    <definedName name="__hu2">{"'Sheet1'!$L$16"}</definedName>
    <definedName name="__hu5">{"'Sheet1'!$L$16"}</definedName>
    <definedName name="__hu6">{"'Sheet1'!$L$16"}</definedName>
    <definedName name="__IntlFixup">TRUE</definedName>
    <definedName name="__NSO2">{"'Sheet1'!$L$16"}</definedName>
    <definedName name="__PA3">{"'Sheet1'!$L$16"}</definedName>
    <definedName name="_a1">{"'Sheet1'!$L$16"}</definedName>
    <definedName name="_a2">{"'Sheet1'!$L$16"}</definedName>
    <definedName name="_CN1">{"'Sheet1'!$L$16"}</definedName>
    <definedName name="_cn3">{"'Sheet1'!$L$16"}</definedName>
    <definedName name="_d1500">{"'Sheet1'!$L$16"}</definedName>
    <definedName name="_GD3">{"'Sheet1'!$L$16"}</definedName>
    <definedName name="_Goi8">{"'Sheet1'!$L$16"}</definedName>
    <definedName name="_h1">{"'Sheet1'!$L$16"}</definedName>
    <definedName name="_hu1">{"'Sheet1'!$L$16"}</definedName>
    <definedName name="_hu2">{"'Sheet1'!$L$16"}</definedName>
    <definedName name="_hu5">{"'Sheet1'!$L$16"}</definedName>
    <definedName name="_hu6">{"'Sheet1'!$L$16"}</definedName>
    <definedName name="_NSO2">{"'Sheet1'!$L$16"}</definedName>
    <definedName name="_Order1">255</definedName>
    <definedName name="_Order2">255</definedName>
    <definedName name="_PA3">{"'Sheet1'!$L$16"}</definedName>
    <definedName name="_Regression_Int">1</definedName>
    <definedName name="_T2">{"'Sheet1'!$L$16"}</definedName>
    <definedName name="aaafff">{"'장비'!$A$3:$M$12"}</definedName>
    <definedName name="AccessDatabase">"D:\_genkou\excel97\sample\支店集計作業\本社合計2.mdb"</definedName>
    <definedName name="ADITION">{"'장비'!$A$3:$M$12"}</definedName>
    <definedName name="agfg">{"'장비'!$A$3:$M$12"}</definedName>
    <definedName name="anscount">1</definedName>
    <definedName name="AS2DocOpenMode">"AS2DocumentEdit"</definedName>
    <definedName name="ATGT">{"'Sheet1'!$L$16"}</definedName>
    <definedName name="bc">{"'Sheet1'!$L$16"}</definedName>
    <definedName name="BCTQ">{"'Sheet1'!$L$16"}</definedName>
    <definedName name="btl">{"'Sheet1'!$L$16"}</definedName>
    <definedName name="chitietbgiang2">{"'Sheet1'!$L$16"}</definedName>
    <definedName name="chuyen">{"'Sheet1'!$L$16"}</definedName>
    <definedName name="civil2">{"'장비'!$A$3:$M$12"}</definedName>
    <definedName name="cn2a">{"'Sheet1'!$L$16"}</definedName>
    <definedName name="CON">{"'Sheet1'!$L$16"}</definedName>
    <definedName name="concrete">{"'Sheet1'!$L$16"}</definedName>
    <definedName name="CTCT1">{"'Sheet1'!$L$16"}</definedName>
    <definedName name="dddf">{"'장비'!$A$3:$M$12"}</definedName>
    <definedName name="dfaf">{"'장비'!$A$3:$M$12"}</definedName>
    <definedName name="dfdf">{"'장비'!$A$3:$M$12"}</definedName>
    <definedName name="DIAMOND">{"'장비'!$A$3:$M$12"}</definedName>
    <definedName name="ert">{"'장비'!$A$3:$M$12"}</definedName>
    <definedName name="erty">{"'장비'!$A$3:$M$12"}</definedName>
    <definedName name="EWRWE">{"'장비'!$A$3:$M$12"}</definedName>
    <definedName name="ewrweq">{"'장비'!$A$3:$M$12"}</definedName>
    <definedName name="fffffffg">{"'장비'!$A$3:$M$12"}</definedName>
    <definedName name="ffgfg">{"'장비'!$A$3:$M$12"}</definedName>
    <definedName name="FIRST">{"'Sheet1'!$L$16"}</definedName>
    <definedName name="FORMWORK">{"'Sheet1'!$L$16"}</definedName>
    <definedName name="ga">{"'Sheet1'!$L$16"}</definedName>
    <definedName name="gggg">{"'장비'!$A$3:$M$12"}</definedName>
    <definedName name="gh">{"'Sheet1'!$L$16"}</definedName>
    <definedName name="GroundFloor">{"'Sheet1'!$L$16"}</definedName>
    <definedName name="h">{"'Sheet1'!$L$16"}</definedName>
    <definedName name="h_xoa">{"'Sheet1'!$L$16"}</definedName>
    <definedName name="h_xoa2">{"'Sheet1'!$L$16"}</definedName>
    <definedName name="hg">{"'Sheet1'!$L$16"}</definedName>
    <definedName name="hhh">{"'장비'!$A$3:$M$12"}</definedName>
    <definedName name="htlm">{"'Sheet1'!$L$16"}</definedName>
    <definedName name="HTML">{"'장비'!$A$3:$M$12"}</definedName>
    <definedName name="HTML_CodePage">950</definedName>
    <definedName name="HTML_Control">{"'Sheet1'!$L$16"}</definedName>
    <definedName name="html_control_xoa2">{"'Sheet1'!$L$16"}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"C:\2689\Q\??\00q3961????PTA3??\MyHTML.htm"</definedName>
    <definedName name="HTML_Title">"00Q3961-SUM"</definedName>
    <definedName name="HTML1">{"'장비'!$A$3:$M$12"}</definedName>
    <definedName name="huy">{"'Sheet1'!$L$16"}</definedName>
    <definedName name="huy_xoa">{"'Sheet1'!$L$16"}</definedName>
    <definedName name="huy_xoa2">{"'Sheet1'!$L$16"}</definedName>
    <definedName name="hy">{"'Sheet1'!$L$16"}</definedName>
    <definedName name="kjkgh">{"'장비'!$A$3:$M$12"}</definedName>
    <definedName name="ks">{"'Sheet1'!$L$16"}</definedName>
    <definedName name="ksbn">{"'Sheet1'!$L$16"}</definedName>
    <definedName name="kshn">{"'Sheet1'!$L$16"}</definedName>
    <definedName name="ksls">{"'Sheet1'!$L$16"}</definedName>
    <definedName name="langson">{"'Sheet1'!$L$16"}</definedName>
    <definedName name="lee">{"'Sheet1'!$L$16"}</definedName>
    <definedName name="level1">{"'장비'!$A$3:$M$12"}</definedName>
    <definedName name="Long">{"'Sheet1'!$L$16"}</definedName>
    <definedName name="Middle">{"'Sheet1'!$L$16"}</definedName>
    <definedName name="mmm">{"'장비'!$A$3:$M$12"}</definedName>
    <definedName name="mmmm">{"'장비'!$A$3:$M$12"}</definedName>
    <definedName name="mo">{"'Sheet1'!$L$16"}</definedName>
    <definedName name="moi">{"'Sheet1'!$L$16"}</definedName>
    <definedName name="PAIII_">{"'Sheet1'!$L$16"}</definedName>
    <definedName name="PMS">{"'Sheet1'!$L$16"}</definedName>
    <definedName name="qqqq">{"'장비'!$A$3:$M$12"}</definedName>
    <definedName name="qwwwwwwwwww">{"'Sheet1'!$L$16"}</definedName>
    <definedName name="RNAO">{"'장비'!$A$3:$M$12"}</definedName>
    <definedName name="rtytry">{"'장비'!$A$3:$M$12"}</definedName>
    <definedName name="sa">{"'Sheet1'!$L$16"}</definedName>
    <definedName name="sdfdf">{"'장비'!$A$3:$M$12"}</definedName>
    <definedName name="sefse">{"'장비'!$A$3:$M$12"}</definedName>
    <definedName name="sheet4">{"'Sheet1'!$L$16"}</definedName>
    <definedName name="solver_lin">0</definedName>
    <definedName name="solver_num">0</definedName>
    <definedName name="solver_typ">3</definedName>
    <definedName name="solver_val">231184</definedName>
    <definedName name="tha">{"'Sheet1'!$L$16"}</definedName>
    <definedName name="THANH">{"'Sheet1'!$L$16"}</definedName>
    <definedName name="THC">{"'Sheet1'!$L$16"}</definedName>
    <definedName name="THDT">{"'Sheet1'!$L$16"}</definedName>
    <definedName name="Tram">{"'Sheet1'!$L$16"}</definedName>
    <definedName name="TTlan2">{"'Sheet1'!$L$16"}</definedName>
    <definedName name="TU">{"'Sheet1'!$L$16"}</definedName>
    <definedName name="tuyennhanh">{"'Sheet1'!$L$16"}</definedName>
    <definedName name="tuynen">{"'Sheet1'!$L$16"}</definedName>
    <definedName name="tyt">{"'장비'!$A$3:$M$12"}</definedName>
    <definedName name="tyyuy">{"'장비'!$A$3:$M$12"}</definedName>
    <definedName name="uhiuhj">{"'Sheet1'!$L$16"}</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{"'Sheet1'!$L$16"}</definedName>
    <definedName name="uuuuuu">{"'장비'!$A$3:$M$12"}</definedName>
    <definedName name="uy">{"'장비'!$A$3:$M$12"}</definedName>
    <definedName name="vcoto">{"'Sheet1'!$L$16"}</definedName>
    <definedName name="wjs">{"'장비'!$A$3:$M$12"}</definedName>
    <definedName name="wre">{"'Sheet1'!$L$16"}</definedName>
    <definedName name="xlttbninh">{"'Sheet1'!$L$16"}</definedName>
    <definedName name="XN908nam2003">{"'Sheet1'!$L$16"}</definedName>
    <definedName name="xoa1">{"'Sheet1'!$L$16"}</definedName>
    <definedName name="xx">{"'Sheet1'!$L$16"}</definedName>
    <definedName name="xxx">{"'Sheet1'!$L$16"}</definedName>
    <definedName name="yuyu">{"'장비'!$A$3:$M$12"}</definedName>
    <definedName name="yuyuyu">{"'장비'!$A$3:$M$12"}</definedName>
    <definedName name="yy">{"'Sheet1'!$L$16"}</definedName>
    <definedName name="yyy">{"'Sheet1'!$L$16"}</definedName>
    <definedName name="yyyyy">{"'장비'!$A$3:$M$12"}</definedName>
    <definedName name="견적품의서">{"'장비'!$A$3:$M$12"}</definedName>
    <definedName name="견적품의서1">{"'장비'!$A$3:$M$12"}</definedName>
    <definedName name="경비2차분">{"'장비'!$A$3:$M$12"}</definedName>
    <definedName name="뭉">{"'장비'!$A$3:$M$12"}</definedName>
    <definedName name="보조기층">{"'장비'!$A$3:$M$12"}</definedName>
    <definedName name="석재받은의뢰업체">255</definedName>
    <definedName name="ㅈㅈ">{"'장비'!$A$3:$M$12"}</definedName>
    <definedName name="ㅈㅈㅈㅈㅈ">{"'장비'!$A$3:$M$12"}</definedName>
    <definedName name="전기">{"'장비'!$A$3:$M$12"}</definedName>
    <definedName name="전기구">{"'장비'!$A$3:$M$12"}</definedName>
    <definedName name="전기기기">{"'장비'!$A$3:$M$12"}</definedName>
    <definedName name="추가분">{"'장비'!$A$3:$M$12"}</definedName>
    <definedName name="토건">{"'장비'!$A$3:$M$12"}</definedName>
    <definedName name="토건공사비대비r">{"'장비'!$A$3:$M$12"}</definedName>
    <definedName name="토건업체">{"'장비'!$A$3:$M$12"}</definedName>
    <definedName name="토건집계표r">{"'장비'!$A$3:$M$12"}</definedName>
    <definedName name="토목변경">{"'장비'!$A$3:$M$12"}</definedName>
    <definedName name="토목실행예산">{"'장비'!$A$3:$M$12"}</definedName>
    <definedName name="토목조정분">{"'장비'!$A$3:$M$12"}</definedName>
    <definedName name="투찰예정가50">{"'장비'!$A$3:$M$12"}</definedName>
    <definedName name="투찰예정본부장">{"'장비'!$A$3:$M$12"}</definedName>
    <definedName name="현장지도">{"'장비'!$A$3:$M$12"}</definedName>
    <definedName name="현지공사비">{"'장비'!$A$3:$M$12"}</definedName>
    <definedName name="현지공사비총괄">{"'장비'!$A$3:$M$12"}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1" i="4" l="1"/>
  <c r="X10" i="4"/>
  <c r="X9" i="4"/>
  <c r="X8" i="4"/>
  <c r="C8" i="4"/>
  <c r="X7" i="4"/>
  <c r="C7" i="4"/>
  <c r="X6" i="4"/>
  <c r="C6" i="4"/>
  <c r="H5" i="4"/>
  <c r="C5" i="4"/>
  <c r="Y3" i="4"/>
  <c r="M3" i="4"/>
  <c r="AG2" i="4"/>
  <c r="AF2" i="4"/>
  <c r="AF4" i="4" s="1"/>
  <c r="AE2" i="4"/>
  <c r="AF3" i="4" s="1"/>
  <c r="AD2" i="4"/>
  <c r="AC2" i="4"/>
  <c r="AC4" i="4" s="1"/>
  <c r="AB2" i="4"/>
  <c r="AD3" i="4" s="1"/>
  <c r="AA2" i="4"/>
  <c r="AA4" i="4" s="1"/>
  <c r="Z2" i="4"/>
  <c r="Z4" i="4" s="1"/>
  <c r="M2" i="4"/>
  <c r="X1" i="4"/>
  <c r="Y2" i="4" s="1"/>
  <c r="AA3" i="4" s="1"/>
  <c r="W1" i="4"/>
  <c r="M1" i="4"/>
  <c r="C69" i="3"/>
  <c r="C9" i="4" s="1"/>
  <c r="H65" i="3"/>
  <c r="A63" i="3"/>
  <c r="J56" i="3"/>
  <c r="I53" i="3"/>
  <c r="J53" i="3" s="1"/>
  <c r="H53" i="3"/>
  <c r="I52" i="3"/>
  <c r="J52" i="3" s="1"/>
  <c r="H52" i="3"/>
  <c r="I51" i="3"/>
  <c r="H51" i="3"/>
  <c r="I50" i="3"/>
  <c r="J50" i="3" s="1"/>
  <c r="H50" i="3"/>
  <c r="I49" i="3"/>
  <c r="J49" i="3" s="1"/>
  <c r="H49" i="3"/>
  <c r="I48" i="3"/>
  <c r="J48" i="3" s="1"/>
  <c r="H48" i="3"/>
  <c r="I47" i="3"/>
  <c r="J47" i="3" s="1"/>
  <c r="H47" i="3"/>
  <c r="I46" i="3"/>
  <c r="J46" i="3" s="1"/>
  <c r="H46" i="3"/>
  <c r="I45" i="3"/>
  <c r="J45" i="3" s="1"/>
  <c r="H45" i="3"/>
  <c r="I44" i="3"/>
  <c r="J44" i="3" s="1"/>
  <c r="H44" i="3"/>
  <c r="I43" i="3"/>
  <c r="H43" i="3"/>
  <c r="H39" i="3" s="1"/>
  <c r="I42" i="3"/>
  <c r="J42" i="3" s="1"/>
  <c r="H42" i="3"/>
  <c r="I41" i="3"/>
  <c r="J41" i="3" s="1"/>
  <c r="H41" i="3"/>
  <c r="I40" i="3"/>
  <c r="J40" i="3" s="1"/>
  <c r="H40" i="3"/>
  <c r="G39" i="3"/>
  <c r="H33" i="3"/>
  <c r="H32" i="3" s="1"/>
  <c r="J32" i="3" s="1"/>
  <c r="G32" i="3"/>
  <c r="H30" i="3"/>
  <c r="H29" i="3"/>
  <c r="J29" i="3" s="1"/>
  <c r="G29" i="3"/>
  <c r="H27" i="3"/>
  <c r="H26" i="3"/>
  <c r="J26" i="3" s="1"/>
  <c r="G26" i="3"/>
  <c r="H24" i="3"/>
  <c r="H23" i="3" s="1"/>
  <c r="J23" i="3" s="1"/>
  <c r="G23" i="3"/>
  <c r="I21" i="3"/>
  <c r="H21" i="3"/>
  <c r="H20" i="3"/>
  <c r="J20" i="3" s="1"/>
  <c r="G20" i="3"/>
  <c r="H18" i="3"/>
  <c r="H17" i="3"/>
  <c r="J17" i="3" s="1"/>
  <c r="G17" i="3"/>
  <c r="H15" i="3"/>
  <c r="H14" i="3"/>
  <c r="J14" i="3" s="1"/>
  <c r="G14" i="3"/>
  <c r="H12" i="3"/>
  <c r="H11" i="3"/>
  <c r="J11" i="3" s="1"/>
  <c r="G11" i="3"/>
  <c r="I4" i="3"/>
  <c r="L3" i="3"/>
  <c r="L2" i="3"/>
  <c r="J1" i="3" s="1"/>
  <c r="F7" i="3" s="1"/>
  <c r="H68" i="3" s="1"/>
  <c r="V1" i="3"/>
  <c r="W1" i="3" s="1"/>
  <c r="AA2" i="3" s="1"/>
  <c r="L1" i="3"/>
  <c r="C6" i="3" s="1"/>
  <c r="A68" i="2"/>
  <c r="A67" i="2"/>
  <c r="A65" i="2"/>
  <c r="J58" i="2"/>
  <c r="I55" i="2"/>
  <c r="J55" i="2" s="1"/>
  <c r="H55" i="2"/>
  <c r="I54" i="2"/>
  <c r="J54" i="2" s="1"/>
  <c r="H54" i="2"/>
  <c r="I53" i="2"/>
  <c r="H53" i="2"/>
  <c r="I52" i="2"/>
  <c r="J52" i="2" s="1"/>
  <c r="H52" i="2"/>
  <c r="I51" i="2"/>
  <c r="J51" i="2" s="1"/>
  <c r="H51" i="2"/>
  <c r="I50" i="2"/>
  <c r="J50" i="2" s="1"/>
  <c r="H50" i="2"/>
  <c r="I49" i="2"/>
  <c r="H49" i="2"/>
  <c r="I48" i="2"/>
  <c r="J48" i="2" s="1"/>
  <c r="H48" i="2"/>
  <c r="I47" i="2"/>
  <c r="J47" i="2" s="1"/>
  <c r="H47" i="2"/>
  <c r="I46" i="2"/>
  <c r="J46" i="2" s="1"/>
  <c r="H46" i="2"/>
  <c r="I45" i="2"/>
  <c r="H45" i="2"/>
  <c r="H41" i="2" s="1"/>
  <c r="I44" i="2"/>
  <c r="J44" i="2" s="1"/>
  <c r="H44" i="2"/>
  <c r="I43" i="2"/>
  <c r="J43" i="2" s="1"/>
  <c r="H43" i="2"/>
  <c r="I42" i="2"/>
  <c r="J42" i="2" s="1"/>
  <c r="H42" i="2"/>
  <c r="G41" i="2"/>
  <c r="H35" i="2"/>
  <c r="H34" i="2" s="1"/>
  <c r="J34" i="2" s="1"/>
  <c r="G34" i="2"/>
  <c r="H32" i="2"/>
  <c r="H31" i="2"/>
  <c r="J31" i="2" s="1"/>
  <c r="G31" i="2"/>
  <c r="H29" i="2"/>
  <c r="H28" i="2"/>
  <c r="J28" i="2" s="1"/>
  <c r="G28" i="2"/>
  <c r="H26" i="2"/>
  <c r="H25" i="2" s="1"/>
  <c r="J25" i="2" s="1"/>
  <c r="G25" i="2"/>
  <c r="H23" i="2"/>
  <c r="H22" i="2"/>
  <c r="J22" i="2" s="1"/>
  <c r="G22" i="2"/>
  <c r="H20" i="2"/>
  <c r="H19" i="2"/>
  <c r="J19" i="2" s="1"/>
  <c r="G19" i="2"/>
  <c r="H17" i="2"/>
  <c r="H16" i="2" s="1"/>
  <c r="J16" i="2" s="1"/>
  <c r="G16" i="2"/>
  <c r="H14" i="2"/>
  <c r="H13" i="2"/>
  <c r="J13" i="2" s="1"/>
  <c r="G13" i="2"/>
  <c r="C7" i="2"/>
  <c r="C6" i="2"/>
  <c r="M3" i="2"/>
  <c r="M5" i="2" s="1"/>
  <c r="H9" i="2" s="1"/>
  <c r="J1" i="2"/>
  <c r="C9" i="2" s="1"/>
  <c r="C7" i="3" l="1"/>
  <c r="C68" i="3" s="1"/>
  <c r="J1" i="4"/>
  <c r="G8" i="4"/>
  <c r="C8" i="2"/>
  <c r="H8" i="2"/>
  <c r="AA3" i="3"/>
  <c r="AA5" i="3"/>
  <c r="AA4" i="3"/>
  <c r="Z2" i="3"/>
  <c r="J51" i="3"/>
  <c r="J49" i="2"/>
  <c r="J45" i="2"/>
  <c r="AD4" i="4"/>
  <c r="J43" i="3"/>
  <c r="J54" i="3" s="1"/>
  <c r="J57" i="3" s="1"/>
  <c r="J53" i="2"/>
  <c r="Y2" i="3"/>
  <c r="X2" i="3"/>
  <c r="AG2" i="3"/>
  <c r="AF2" i="3"/>
  <c r="AE2" i="3"/>
  <c r="AB2" i="3"/>
  <c r="AI2" i="3"/>
  <c r="AI4" i="3" s="1"/>
  <c r="AH2" i="3"/>
  <c r="AD2" i="3"/>
  <c r="AC2" i="3"/>
  <c r="J56" i="2"/>
  <c r="J59" i="2" s="1"/>
  <c r="J61" i="2" s="1"/>
  <c r="W1" i="2" s="1"/>
  <c r="Z3" i="4"/>
  <c r="Y4" i="4"/>
  <c r="AB3" i="4"/>
  <c r="AB4" i="4"/>
  <c r="E5" i="2"/>
  <c r="AH2" i="4"/>
  <c r="AG3" i="4"/>
  <c r="AG4" i="4" s="1"/>
  <c r="AI2" i="4"/>
  <c r="AI4" i="4" s="1"/>
  <c r="AC3" i="4"/>
  <c r="AE3" i="4"/>
  <c r="AE4" i="4"/>
  <c r="AJ2" i="4"/>
  <c r="X1" i="2" l="1"/>
  <c r="AC5" i="3"/>
  <c r="AC4" i="3"/>
  <c r="AF3" i="3"/>
  <c r="AD5" i="3"/>
  <c r="AD4" i="3"/>
  <c r="AE3" i="3"/>
  <c r="AD3" i="3"/>
  <c r="AH5" i="3"/>
  <c r="AH4" i="3"/>
  <c r="AJ3" i="4"/>
  <c r="AI3" i="4"/>
  <c r="AH4" i="4"/>
  <c r="AH3" i="4"/>
  <c r="AB5" i="3"/>
  <c r="AB4" i="3"/>
  <c r="Z4" i="3"/>
  <c r="AE5" i="3"/>
  <c r="AE4" i="3"/>
  <c r="AF5" i="3"/>
  <c r="AF4" i="3"/>
  <c r="AB3" i="3"/>
  <c r="AI3" i="3"/>
  <c r="AG5" i="3"/>
  <c r="AG4" i="3"/>
  <c r="AH3" i="3"/>
  <c r="AG3" i="3"/>
  <c r="X3" i="3"/>
  <c r="Y3" i="3"/>
  <c r="X5" i="3"/>
  <c r="X4" i="3"/>
  <c r="Z3" i="3"/>
  <c r="Z5" i="3" s="1"/>
  <c r="Y5" i="3"/>
  <c r="Y4" i="3"/>
  <c r="AC3" i="3"/>
  <c r="W6" i="3" l="1"/>
  <c r="W7" i="3" s="1"/>
  <c r="C58" i="3" s="1"/>
  <c r="AB2" i="2"/>
  <c r="AA2" i="2"/>
  <c r="AJ2" i="2"/>
  <c r="AJ4" i="2" s="1"/>
  <c r="AI2" i="2"/>
  <c r="AG2" i="2"/>
  <c r="Z2" i="2"/>
  <c r="Y2" i="2"/>
  <c r="AH2" i="2"/>
  <c r="AE2" i="2"/>
  <c r="AD2" i="2"/>
  <c r="AC2" i="2"/>
  <c r="AF2" i="2"/>
  <c r="AA4" i="2" l="1"/>
  <c r="AA5" i="2"/>
  <c r="AB4" i="2"/>
  <c r="AD3" i="2"/>
  <c r="AC3" i="2"/>
  <c r="AB3" i="2"/>
  <c r="AB5" i="2"/>
  <c r="AF5" i="2"/>
  <c r="AF4" i="2"/>
  <c r="AC5" i="2"/>
  <c r="AC4" i="2"/>
  <c r="AD5" i="2"/>
  <c r="AD4" i="2"/>
  <c r="AF3" i="2"/>
  <c r="AE5" i="2"/>
  <c r="AG3" i="2"/>
  <c r="AE3" i="2"/>
  <c r="AE4" i="2"/>
  <c r="AH5" i="2"/>
  <c r="AJ3" i="2"/>
  <c r="AI3" i="2"/>
  <c r="AH4" i="2"/>
  <c r="AH3" i="2"/>
  <c r="Y5" i="2"/>
  <c r="AA3" i="2"/>
  <c r="Z3" i="2"/>
  <c r="Y4" i="2"/>
  <c r="Y3" i="2"/>
  <c r="Z4" i="2"/>
  <c r="Z5" i="2"/>
  <c r="AG5" i="2"/>
  <c r="AG4" i="2"/>
  <c r="AI4" i="2"/>
  <c r="AI5" i="2"/>
  <c r="X6" i="2" l="1"/>
  <c r="X7" i="2" s="1"/>
  <c r="C60" i="2" s="1"/>
</calcChain>
</file>

<file path=xl/sharedStrings.xml><?xml version="1.0" encoding="utf-8"?>
<sst xmlns="http://schemas.openxmlformats.org/spreadsheetml/2006/main" count="340" uniqueCount="202">
  <si>
    <t>2</t>
  </si>
  <si>
    <t>3</t>
  </si>
  <si>
    <t>4</t>
  </si>
  <si>
    <t>5</t>
  </si>
  <si>
    <t>6</t>
  </si>
  <si>
    <t>7</t>
  </si>
  <si>
    <t>8</t>
  </si>
  <si>
    <t>9</t>
  </si>
  <si>
    <t>10</t>
  </si>
  <si>
    <t>11</t>
  </si>
  <si>
    <t>13</t>
  </si>
  <si>
    <t>14</t>
  </si>
  <si>
    <t>15</t>
  </si>
  <si>
    <t>16</t>
  </si>
  <si>
    <t>17</t>
  </si>
  <si>
    <t>18</t>
  </si>
  <si>
    <t>19</t>
  </si>
  <si>
    <t>20</t>
  </si>
  <si>
    <t>MÃ KHÁCH</t>
  </si>
  <si>
    <t>MKH</t>
  </si>
  <si>
    <t>NVT</t>
  </si>
  <si>
    <t>Tên doanh nghiệp/Khách hàng</t>
  </si>
  <si>
    <t xml:space="preserve">Lĩnh vực hoạt động chính </t>
  </si>
  <si>
    <t>MST</t>
  </si>
  <si>
    <t>Người đại diện</t>
  </si>
  <si>
    <t>Di động/Zalo</t>
  </si>
  <si>
    <t>Email</t>
  </si>
  <si>
    <t xml:space="preserve">Địa chỉ </t>
  </si>
  <si>
    <t>Telephone</t>
  </si>
  <si>
    <t>Fax</t>
  </si>
  <si>
    <t>Website</t>
  </si>
  <si>
    <t>Nhân viên Phụ Trách</t>
  </si>
  <si>
    <t>Số TK</t>
  </si>
  <si>
    <t>Mở tại…</t>
  </si>
  <si>
    <t>Địa chỉ chi tiết</t>
  </si>
  <si>
    <t>Xã/  Phường</t>
  </si>
  <si>
    <t>Quận/ Huyện</t>
  </si>
  <si>
    <t>Tỉnh/TP</t>
  </si>
  <si>
    <t>Mr Phóng</t>
  </si>
  <si>
    <t>Quý khách hàng.</t>
  </si>
  <si>
    <t xml:space="preserve"> -</t>
  </si>
  <si>
    <t>-</t>
  </si>
  <si>
    <t>100.1</t>
  </si>
  <si>
    <t>101.1</t>
  </si>
  <si>
    <t>Phòng Kinh doanh Ngọc Hồi - Công ty Phú Sơn</t>
  </si>
  <si>
    <t>0866989399</t>
  </si>
  <si>
    <t>Lô 7CN5 CCN Ngọc Hồi - X. Ngọc Hồi, H. Thanh Trì, TP. Hà Nội</t>
  </si>
  <si>
    <t>CÔNG TY TNHH SYPANEL VINA</t>
  </si>
  <si>
    <t>Thi công Nhà xưởng</t>
  </si>
  <si>
    <t>0900863224-001</t>
  </si>
  <si>
    <t>KWON JUNG HYUN</t>
  </si>
  <si>
    <t>(+84) 2213 946 170</t>
  </si>
  <si>
    <t xml:space="preserve"> KCN Minh Đức, xã Bạch Sam, huyện Mỹ Hào, tỉnh Hưng Yên</t>
  </si>
  <si>
    <t>Bạch Sam</t>
  </si>
  <si>
    <t>Mỹ Hào</t>
  </si>
  <si>
    <t>Hưng Yên</t>
  </si>
  <si>
    <t>03213946170</t>
  </si>
  <si>
    <t xml:space="preserve"> 03213.946.171</t>
  </si>
  <si>
    <t>http://www.sypanelvina.vn/</t>
  </si>
  <si>
    <t>Trần Văn Phóng</t>
  </si>
  <si>
    <t>190088881500-01</t>
  </si>
  <si>
    <t>Ngân hàng TMCP Quân đội - Chi nhánh Quận Tân Bình - TP Hồ Chí Minh</t>
  </si>
  <si>
    <t>1.1</t>
  </si>
  <si>
    <t>Mr Kwon</t>
  </si>
  <si>
    <t>1.2</t>
  </si>
  <si>
    <t>Mr Cường</t>
  </si>
  <si>
    <t>0902804007</t>
  </si>
  <si>
    <t>1.3</t>
  </si>
  <si>
    <t xml:space="preserve">Mr  Tuyên </t>
  </si>
  <si>
    <t>0986452504</t>
  </si>
  <si>
    <t>1.4</t>
  </si>
  <si>
    <t>Mr Quyết</t>
  </si>
  <si>
    <t>0934549768</t>
  </si>
  <si>
    <t>1.5</t>
  </si>
  <si>
    <t>CÔNG TY TNHH CÔNG NGHỆ CÔNG NGHIỆP PHÚ SƠN</t>
  </si>
  <si>
    <t>Mã KH:</t>
  </si>
  <si>
    <t>Địa chỉ: Lô 7 CN5, Cụm công nghiệp Ngọc Hồi, xã Ngọc Hồi, Thành phố Hà Nội</t>
  </si>
  <si>
    <t>Mã liên hệ:</t>
  </si>
  <si>
    <t xml:space="preserve">MST: 0104113174      </t>
  </si>
  <si>
    <t>https://panelphuson.vn</t>
  </si>
  <si>
    <t>https://javta.vn</t>
  </si>
  <si>
    <t>Ngày:</t>
  </si>
  <si>
    <t>BẢNG BÁO GIÁ SẢN PHẨM - KIÊM XÁC NHẬN ĐƠN HÀNG</t>
  </si>
  <si>
    <t>Số ngày BG</t>
  </si>
  <si>
    <t>Hiệu lực đến:</t>
  </si>
  <si>
    <t>Kính gửi:</t>
  </si>
  <si>
    <t xml:space="preserve">     Người gửi: Trần Văn Phóng</t>
  </si>
  <si>
    <t>Địa chỉ:</t>
  </si>
  <si>
    <t xml:space="preserve">     Điện thoại: 0982.48.63.36</t>
  </si>
  <si>
    <t>Người liên hệ:</t>
  </si>
  <si>
    <t>Điện thoại:</t>
  </si>
  <si>
    <t>Cảm ơn Quý khách hàng đã quan tâm tới sản phẩm do Công ty TNHH Công nghệ Công nghiệp Phú Sơn sản xuất. Chúng tôi xin gửi Báo giá sản phẩm theo yêu cầu Quý khách đã cung cấp với nội dung như sau:</t>
  </si>
  <si>
    <t xml:space="preserve"> - Báo giá khách thì để giá bao gồm VAT</t>
  </si>
  <si>
    <t>TT</t>
  </si>
  <si>
    <t>Tên sản phẩm/Quy cách</t>
  </si>
  <si>
    <t>Đơn vị</t>
  </si>
  <si>
    <t>Chiều rộng</t>
  </si>
  <si>
    <t>Chiều dài</t>
  </si>
  <si>
    <t>Số tấm</t>
  </si>
  <si>
    <t>Khối lượng</t>
  </si>
  <si>
    <t>Đơn giá
(VNĐ)</t>
  </si>
  <si>
    <t>Thành tiền
(VNĐ)</t>
  </si>
  <si>
    <r>
      <rPr>
        <b/>
        <sz val="12"/>
        <color theme="1"/>
        <rFont val="Times New Roman"/>
        <family val="1"/>
      </rPr>
      <t xml:space="preserve">PANEL PUR VÁCH TRONG (TÔN + PU + TÔN): </t>
    </r>
    <r>
      <rPr>
        <sz val="12"/>
        <color theme="1"/>
        <rFont val="Times New Roman"/>
        <family val="1"/>
      </rPr>
      <t xml:space="preserve">
* Mặt thứ nhất: Tôn nền Kamazn, dày 0,45±0,04mm, AZM50 màu KM W01.
* Lớp giữa: PUR dày 50±2mm, tỷ trọng 40±3kg/m</t>
    </r>
    <r>
      <rPr>
        <vertAlign val="superscript"/>
        <sz val="12"/>
        <color theme="1"/>
        <rFont val="Times New Roman"/>
        <family val="1"/>
      </rPr>
      <t>3</t>
    </r>
    <r>
      <rPr>
        <sz val="12"/>
        <color theme="1"/>
        <rFont val="Times New Roman"/>
        <family val="1"/>
      </rPr>
      <t>. 
* Mặt thứ hai: Tôn nền Kamazn, dày 0,45±0,04mm, AZM50 màu KM W01.
* Hai mặt tôn phẳng hoặc cán gân tăng cứng. Khổ hiệu dụng/khổ sản phẩm: 1.130/1.152 mm (hoặc 1.000/1.022mm). Có dán nilong chống trầy xước. Tính m</t>
    </r>
    <r>
      <rPr>
        <vertAlign val="superscript"/>
        <sz val="12"/>
        <color theme="1"/>
        <rFont val="Times New Roman"/>
        <family val="1"/>
      </rPr>
      <t>2</t>
    </r>
    <r>
      <rPr>
        <sz val="12"/>
        <color theme="1"/>
        <rFont val="Times New Roman"/>
        <family val="1"/>
      </rPr>
      <t xml:space="preserve"> = chiều dài(m) x số tấm x 1,13</t>
    </r>
  </si>
  <si>
    <t>Tấm số 01</t>
  </si>
  <si>
    <r>
      <t>m</t>
    </r>
    <r>
      <rPr>
        <vertAlign val="superscript"/>
        <sz val="12"/>
        <color theme="1"/>
        <rFont val="Times New Roman"/>
        <family val="1"/>
      </rPr>
      <t>2</t>
    </r>
  </si>
  <si>
    <r>
      <rPr>
        <b/>
        <sz val="12"/>
        <color theme="1"/>
        <rFont val="Times New Roman"/>
        <family val="1"/>
      </rPr>
      <t>PANEL PUR VÁCH NGOÀI (TÔN + PU + TÔN):</t>
    </r>
    <r>
      <rPr>
        <sz val="12"/>
        <color theme="1"/>
        <rFont val="Times New Roman"/>
        <family val="1"/>
      </rPr>
      <t xml:space="preserve">
* Mặt ngoài: Tôn nền Kamazn, dày 0,45±0,04mm, AZM50, màu KM W01.
* Lớp giữa: PUR 50±2mm, tỷ trọng 40±3kg/m</t>
    </r>
    <r>
      <rPr>
        <vertAlign val="superscript"/>
        <sz val="12"/>
        <color theme="1"/>
        <rFont val="Times New Roman"/>
        <family val="1"/>
      </rPr>
      <t xml:space="preserve">3 </t>
    </r>
    <r>
      <rPr>
        <sz val="12"/>
        <color theme="1"/>
        <rFont val="Times New Roman"/>
        <family val="1"/>
      </rPr>
      <t xml:space="preserve">
* Mặt trong: Tôn nền Kamazn, dày 0,40±0,04mm,</t>
    </r>
    <r>
      <rPr>
        <sz val="12"/>
        <color theme="1"/>
        <rFont val="Arial"/>
        <family val="2"/>
      </rPr>
      <t xml:space="preserve"> </t>
    </r>
    <r>
      <rPr>
        <sz val="12"/>
        <color theme="1"/>
        <rFont val="Times New Roman"/>
        <family val="1"/>
      </rPr>
      <t>AZM50, màu KM W01.
* Mặt ngoài có 1 gân to âm &amp; 32 gân nhỏ sóng tăm. Mặt trong phẳng hoặc có gân. Dán nilong chống trầy xước. Khổ hiệu dụng/khổ sản phẩm: 1.000/1.022mm. Tính m</t>
    </r>
    <r>
      <rPr>
        <vertAlign val="superscript"/>
        <sz val="12"/>
        <color theme="1"/>
        <rFont val="Times New Roman"/>
        <family val="1"/>
      </rPr>
      <t>2</t>
    </r>
    <r>
      <rPr>
        <sz val="12"/>
        <color theme="1"/>
        <rFont val="Times New Roman"/>
        <family val="1"/>
      </rPr>
      <t xml:space="preserve"> = chiều dài(m) x số tấm x 1,00</t>
    </r>
  </si>
  <si>
    <r>
      <rPr>
        <b/>
        <sz val="12"/>
        <color theme="1"/>
        <rFont val="Times New Roman"/>
        <family val="1"/>
      </rPr>
      <t>PANEL EPS VÁCH TRONG (TÔN + EPS + TÔN):</t>
    </r>
    <r>
      <rPr>
        <sz val="12"/>
        <color theme="1"/>
        <rFont val="Times New Roman"/>
        <family val="1"/>
      </rPr>
      <t xml:space="preserve">
* Mặt thứ nhất: Tôn nền Kamazn, dày 0,45±0,04mm, AZM50, màu KM W01
* Lớp giữa: EPS trắng thường dày 50±2mm, tỷ trọng 8±1kg/m</t>
    </r>
    <r>
      <rPr>
        <vertAlign val="superscript"/>
        <sz val="12"/>
        <color theme="1"/>
        <rFont val="Times New Roman"/>
        <family val="1"/>
      </rPr>
      <t>3</t>
    </r>
    <r>
      <rPr>
        <sz val="12"/>
        <color theme="1"/>
        <rFont val="Times New Roman"/>
        <family val="1"/>
      </rPr>
      <t xml:space="preserve">
* Mặt thứ hai: Tôn nền Kamazn, dày 0,45±0,04mm, AZM50, màu KM W01
* Hai mặt phẳng hoặc có gân tăng cứng. Khổ hiệu dụng/khổ sản phẩm: 1000/1025mm hoặc ngàm U tôn 1150/1170mm, có dán nilong chống trầy xước. Tính m</t>
    </r>
    <r>
      <rPr>
        <vertAlign val="superscript"/>
        <sz val="12"/>
        <color theme="1"/>
        <rFont val="Times New Roman"/>
        <family val="1"/>
      </rPr>
      <t>2</t>
    </r>
    <r>
      <rPr>
        <sz val="12"/>
        <color theme="1"/>
        <rFont val="Times New Roman"/>
        <family val="1"/>
      </rPr>
      <t xml:space="preserve"> = chiều dài(m) x số tấm x 1,00 (Ngàm U x 1,15)</t>
    </r>
  </si>
  <si>
    <r>
      <rPr>
        <b/>
        <sz val="12"/>
        <color theme="1"/>
        <rFont val="Times New Roman"/>
        <family val="1"/>
      </rPr>
      <t xml:space="preserve">PANEL EPS VÁCH NGOÀI (TÔN + EPS + TÔN): </t>
    </r>
    <r>
      <rPr>
        <sz val="12"/>
        <color theme="1"/>
        <rFont val="Times New Roman"/>
        <family val="1"/>
      </rPr>
      <t xml:space="preserve">
* Mặt ngoài: Tôn nền Kamazn dày 0,45±0,04mm, AZM50 màu KM W01
* Lớp giữa: EPS trắng thường dày 50±2mm &amp; tỷ trọng 8±1kg/m</t>
    </r>
    <r>
      <rPr>
        <vertAlign val="superscript"/>
        <sz val="12"/>
        <color theme="1"/>
        <rFont val="Times New Roman"/>
        <family val="1"/>
      </rPr>
      <t>3</t>
    </r>
    <r>
      <rPr>
        <sz val="12"/>
        <color theme="1"/>
        <rFont val="Times New Roman"/>
        <family val="1"/>
      </rPr>
      <t xml:space="preserve">
* Mặt trong: Tôn nền Kamazn dày 0,45±0,04mm, AZM50 màu KM W01
* Mặt ngoài có 1 gân to âm &amp; 32 gân nhỏ sóng tăm. Mặt trong phẳng hoặc có gân tăng cứng. Khổ hiệu dụng/khổ sản phẩm: 1.000/1.045mm, có dán nilong chống trầy xước. Tính m</t>
    </r>
    <r>
      <rPr>
        <vertAlign val="superscript"/>
        <sz val="12"/>
        <color theme="1"/>
        <rFont val="Times New Roman"/>
        <family val="1"/>
      </rPr>
      <t>2</t>
    </r>
    <r>
      <rPr>
        <sz val="12"/>
        <color theme="1"/>
        <rFont val="Times New Roman"/>
        <family val="1"/>
      </rPr>
      <t xml:space="preserve"> = chiều dài(m) x số tấm x 1,00</t>
    </r>
  </si>
  <si>
    <r>
      <rPr>
        <b/>
        <sz val="12"/>
        <color theme="1"/>
        <rFont val="Times New Roman"/>
        <family val="1"/>
      </rPr>
      <t>KLIPLOCK PU 2 SÓNG (TÔN + PU + TÔN/GIẤY BẠC):</t>
    </r>
    <r>
      <rPr>
        <sz val="12"/>
        <color theme="1"/>
        <rFont val="Times New Roman"/>
        <family val="1"/>
      </rPr>
      <t xml:space="preserve">
* Mặt trên: Tôn nền Kamazn, dày 0,45±0,04mm, AZM50, màu KM W02
* Lớp giữa: PU chống cháy lan B2, dày 20±2mm, tỷ trọng 32±3kg/m</t>
    </r>
    <r>
      <rPr>
        <vertAlign val="superscript"/>
        <sz val="12"/>
        <color theme="1"/>
        <rFont val="Times New Roman"/>
        <family val="1"/>
      </rPr>
      <t>3</t>
    </r>
    <r>
      <rPr>
        <sz val="12"/>
        <color theme="1"/>
        <rFont val="Times New Roman"/>
        <family val="1"/>
      </rPr>
      <t xml:space="preserve"> 
* Mặt dưới: Tôn nền liên doanh, dày 0,23±0,04mm, có hèm chống hở, màu trắng hoặc giấy bạc sần
* Chiều cao sóng dương 42±1mm, Khổ hiệu dụng/khổ sản phẩm: 400/450mm hoặc 450/485mm
* Tính m</t>
    </r>
    <r>
      <rPr>
        <vertAlign val="superscript"/>
        <sz val="12"/>
        <color theme="1"/>
        <rFont val="Times New Roman"/>
        <family val="1"/>
      </rPr>
      <t>2</t>
    </r>
    <r>
      <rPr>
        <sz val="12"/>
        <color theme="1"/>
        <rFont val="Times New Roman"/>
        <family val="1"/>
      </rPr>
      <t xml:space="preserve"> = chiều dài(m) x số tấm x 0,45 hoặc 0,485</t>
    </r>
  </si>
  <si>
    <t>VI.</t>
  </si>
  <si>
    <r>
      <rPr>
        <b/>
        <sz val="12"/>
        <color theme="1"/>
        <rFont val="Times New Roman"/>
        <family val="1"/>
      </rPr>
      <t>TẤM LỢP PU 5 SÓNG (TÔN + PU + TÔN hoặc GIẤY BẠC):</t>
    </r>
    <r>
      <rPr>
        <sz val="12"/>
        <color theme="1"/>
        <rFont val="Times New Roman"/>
        <family val="1"/>
      </rPr>
      <t xml:space="preserve">
* Mặt trên: Tôn nền Kamazn, dày 0,45±0,04mm, AZM50, màu KM W02 
* Lớp giữa: PU chống cháy lan B2, dày 20±2mm, tỷ trọng 29±3kg/m</t>
    </r>
    <r>
      <rPr>
        <vertAlign val="superscript"/>
        <sz val="12"/>
        <color theme="1"/>
        <rFont val="Times New Roman"/>
        <family val="1"/>
      </rPr>
      <t>3</t>
    </r>
    <r>
      <rPr>
        <sz val="12"/>
        <color theme="1"/>
        <rFont val="Times New Roman"/>
        <family val="1"/>
      </rPr>
      <t xml:space="preserve"> 
* Mặt dưới: Tôn nền liên doanh dày 0,23±0,04mm, có hèm chống hở, màu trắng hoặc Giấy bạc hoa. 
* Chiều cao sóng dương 32±2mm. Khổ hiệu dụng/khổ sản phẩm: 1.000/1.080mm. Tính m</t>
    </r>
    <r>
      <rPr>
        <vertAlign val="superscript"/>
        <sz val="12"/>
        <color theme="1"/>
        <rFont val="Times New Roman"/>
        <family val="1"/>
      </rPr>
      <t>2</t>
    </r>
    <r>
      <rPr>
        <sz val="12"/>
        <color theme="1"/>
        <rFont val="Times New Roman"/>
        <family val="1"/>
      </rPr>
      <t xml:space="preserve"> = chiều dài(m) x số tấm x 1,08</t>
    </r>
  </si>
  <si>
    <r>
      <rPr>
        <b/>
        <sz val="12"/>
        <color theme="1"/>
        <rFont val="Times New Roman"/>
        <family val="1"/>
      </rPr>
      <t>TẤM LỢP EPS 5 SÓNG (TÔN + EPS + TÔN):</t>
    </r>
    <r>
      <rPr>
        <sz val="12"/>
        <color theme="1"/>
        <rFont val="Times New Roman"/>
        <family val="1"/>
      </rPr>
      <t xml:space="preserve">
* Mặt trên: Tôn nền Kamazn, dày 0,45±0,04mm, AZM50, màu KM W02 
* Lớp giữa: EPS trắng thường, dày 50±2mm, tỷ trọng 8±1kg/m</t>
    </r>
    <r>
      <rPr>
        <vertAlign val="superscript"/>
        <sz val="12"/>
        <color theme="1"/>
        <rFont val="Times New Roman"/>
        <family val="1"/>
      </rPr>
      <t>3</t>
    </r>
    <r>
      <rPr>
        <sz val="12"/>
        <color theme="1"/>
        <rFont val="Times New Roman"/>
        <family val="1"/>
      </rPr>
      <t xml:space="preserve"> 
* Mặt dưới: Tôn nền liên doanh dày 0,23±0,04mm, màu trắng.
* Chiều cao sóng dương 35±2mm. Khổ hiệu dụng/khổ sản phẩm: 1.000/1.105mm. Tính m</t>
    </r>
    <r>
      <rPr>
        <vertAlign val="superscript"/>
        <sz val="12"/>
        <color theme="1"/>
        <rFont val="Times New Roman"/>
        <family val="1"/>
      </rPr>
      <t>2</t>
    </r>
    <r>
      <rPr>
        <sz val="12"/>
        <color theme="1"/>
        <rFont val="Times New Roman"/>
        <family val="1"/>
      </rPr>
      <t xml:space="preserve"> = chiều dài(m) x số tấm x 1,00</t>
    </r>
  </si>
  <si>
    <r>
      <t xml:space="preserve">TẤM LỢP SEAMLOCK K1000: 
</t>
    </r>
    <r>
      <rPr>
        <sz val="12"/>
        <color theme="1"/>
        <rFont val="Times New Roman"/>
        <family val="1"/>
      </rPr>
      <t>* Tôn nền Kamazn, dày 0,45±0,04mm, AZM50, màu KM W02. 
* Hiệu dụng 1.000mm, chiều cao sóng dương 81±1mm</t>
    </r>
    <r>
      <rPr>
        <b/>
        <sz val="12"/>
        <color theme="1"/>
        <rFont val="Times New Roman"/>
        <family val="1"/>
      </rPr>
      <t>.</t>
    </r>
  </si>
  <si>
    <t>VẬT TƯ PHỤ:</t>
  </si>
  <si>
    <t xml:space="preserve">Đai seamlock liền </t>
  </si>
  <si>
    <t>bộ</t>
  </si>
  <si>
    <t>Đai seamlock đơn</t>
  </si>
  <si>
    <t>cái</t>
  </si>
  <si>
    <t>Bộ chặn trên dưới seamlock</t>
  </si>
  <si>
    <r>
      <t xml:space="preserve">PHỤ KIỆN: 
</t>
    </r>
    <r>
      <rPr>
        <sz val="12"/>
        <color theme="1"/>
        <rFont val="Times New Roman"/>
        <family val="1"/>
      </rPr>
      <t>* Tôn nền Kamazn, dày 0,45±0,04mm, AZM50, màu KM W02.</t>
    </r>
    <r>
      <rPr>
        <b/>
        <sz val="12"/>
        <color theme="1"/>
        <rFont val="Times New Roman"/>
        <family val="1"/>
      </rPr>
      <t xml:space="preserve"> </t>
    </r>
  </si>
  <si>
    <t>Khổ 100mm</t>
  </si>
  <si>
    <t>m</t>
  </si>
  <si>
    <t>Khổ 120mm</t>
  </si>
  <si>
    <t>Khổ 150mm</t>
  </si>
  <si>
    <t>Khổ 200mm</t>
  </si>
  <si>
    <t>Khổ 240mm</t>
  </si>
  <si>
    <t>Khổ 300mm</t>
  </si>
  <si>
    <t>Khổ 400mm</t>
  </si>
  <si>
    <t>Khổ 500mm</t>
  </si>
  <si>
    <t>Khổ 600mm</t>
  </si>
  <si>
    <t>Khổ 700mm</t>
  </si>
  <si>
    <t>Khổ 800mm</t>
  </si>
  <si>
    <t>Khổ 900mm</t>
  </si>
  <si>
    <t>Khổ 1000mm</t>
  </si>
  <si>
    <t>Khổ 1200mm</t>
  </si>
  <si>
    <t>A</t>
  </si>
  <si>
    <t>TỔNG GIÁ TRỊ HÀNG HÓA:</t>
  </si>
  <si>
    <t>B</t>
  </si>
  <si>
    <t>DỊCH VỤ VẬN CHUYỂN:</t>
  </si>
  <si>
    <t>Vận chuyển tới:</t>
  </si>
  <si>
    <t>Chuyến</t>
  </si>
  <si>
    <t>C</t>
  </si>
  <si>
    <t>TỔNG GIÁ TRỊ HÀNG HÓA VÀ VẬN CHUYỂN, ĐÃ BAO GỒM VAT: C = (A+B):</t>
  </si>
  <si>
    <t>Bằng chữ:</t>
  </si>
  <si>
    <t>Ghi chú:</t>
  </si>
  <si>
    <t>1. Đơn giá đã bao gồm VAT: Tấm lợp PU, EPS, RW, GW, Vận chuyển thuế 8%; Phụ kiện tôn, inox, 1 lớp thuế 10%</t>
  </si>
  <si>
    <t>2. Dung sai kích thước chiều dài ±5mm, chiều rộng ±4mm</t>
  </si>
  <si>
    <t>3. Dung sai độ dày PU/EPS ±2mm, tấm lấy sáng ±0,2mm.</t>
  </si>
  <si>
    <r>
      <t>4. Tỷ trọng PU ±3kg/m</t>
    </r>
    <r>
      <rPr>
        <vertAlign val="superscript"/>
        <sz val="11"/>
        <color theme="1"/>
        <rFont val="Times New Roman"/>
        <family val="1"/>
      </rPr>
      <t>3</t>
    </r>
    <r>
      <rPr>
        <sz val="11"/>
        <color theme="1"/>
        <rFont val="Times New Roman"/>
        <family val="1"/>
      </rPr>
      <t>, tỷ trọng EPS ±1kg/m</t>
    </r>
    <r>
      <rPr>
        <vertAlign val="superscript"/>
        <sz val="11"/>
        <color theme="1"/>
        <rFont val="Times New Roman"/>
        <family val="1"/>
      </rPr>
      <t>3</t>
    </r>
  </si>
  <si>
    <t>5. Dung sai độ dày tôn ±0,03÷0,04mm</t>
  </si>
  <si>
    <t>chưa</t>
  </si>
  <si>
    <t>Phương thức thanh toán:</t>
  </si>
  <si>
    <t>Thông tin tài khoản nhận đơn đặt hàng:</t>
  </si>
  <si>
    <t xml:space="preserve">Tên TK: Công ty TNHH Công Nghệ Công Nghiệp Phú Sơn. </t>
  </si>
  <si>
    <t>Số TK: 7999989399 mở tại ngân hàng TMCP Quân Đội - CN Hai Bà Trưng</t>
  </si>
  <si>
    <t>ĐẠI DIỆN BÊN MUA</t>
  </si>
  <si>
    <t>ĐẠI DIỆN BÊN BÁN</t>
  </si>
  <si>
    <t>Số lệnh sản xuất:</t>
  </si>
  <si>
    <t>/PS</t>
  </si>
  <si>
    <t>Thời gian gửi:</t>
  </si>
  <si>
    <t>LỆNH SẢN XUẤT</t>
  </si>
  <si>
    <t>Khách hàng:</t>
  </si>
  <si>
    <r>
      <rPr>
        <b/>
        <sz val="12"/>
        <color theme="1"/>
        <rFont val="Times New Roman"/>
        <family val="1"/>
      </rPr>
      <t xml:space="preserve">NVKD:   </t>
    </r>
    <r>
      <rPr>
        <sz val="12"/>
        <color theme="1"/>
        <rFont val="Times New Roman"/>
        <family val="1"/>
      </rPr>
      <t>Trần Văn Phóng</t>
    </r>
  </si>
  <si>
    <t>Liên hệ:</t>
  </si>
  <si>
    <r>
      <rPr>
        <b/>
        <sz val="12"/>
        <color theme="1"/>
        <rFont val="Times New Roman"/>
        <family val="1"/>
      </rPr>
      <t>Điện thoại:</t>
    </r>
    <r>
      <rPr>
        <sz val="12"/>
        <color theme="1"/>
        <rFont val="Times New Roman"/>
        <family val="1"/>
      </rPr>
      <t xml:space="preserve"> 0982.48.63.36</t>
    </r>
  </si>
  <si>
    <t>* NỘI DUNG YÊU CẦU SẢN XUẤT:</t>
  </si>
  <si>
    <t xml:space="preserve"> - Nội bộ để giá trước VAT; Tổng VAT8 hoặc 10 thành nhóm riên</t>
  </si>
  <si>
    <t>chèn dòng</t>
  </si>
  <si>
    <t>** ĐIỀU KIỆN GIAO HÀNG VÀ THANH TOÁN</t>
  </si>
  <si>
    <t>1.Nghiệm thu:</t>
  </si>
  <si>
    <t>tại Nhà máy Phú Sơn</t>
  </si>
  <si>
    <t>2. Ngày nghiệm thu:</t>
  </si>
  <si>
    <t>3.Vận chuyển:</t>
  </si>
  <si>
    <t>Khách hàng tự vận chuyển.</t>
  </si>
  <si>
    <t>4. Thông tin sản phẩm:</t>
  </si>
  <si>
    <t>Không in thông tin nhà máy</t>
  </si>
  <si>
    <t>5. Phiếu giao:</t>
  </si>
  <si>
    <t>Phiếu xuất kho nhà máy.</t>
  </si>
  <si>
    <t>6. Thời gian giao hàng:</t>
  </si>
  <si>
    <t>Ngày ….</t>
  </si>
  <si>
    <t>7. Người nhận:</t>
  </si>
  <si>
    <t>8.Điện thoại người nhận:</t>
  </si>
  <si>
    <t>9. Địa điểm:</t>
  </si>
  <si>
    <t>10.Thanh toán:</t>
  </si>
  <si>
    <t>Theo Hợp đồng Kinh tế</t>
  </si>
  <si>
    <t>11. Ghi chú:</t>
  </si>
  <si>
    <t>GIÁM ĐỐC PHÊ DUYỆT</t>
  </si>
  <si>
    <t>NGƯỜI YÊU CẦU SẢN XUẤT</t>
  </si>
  <si>
    <t>MST: 0104113174                    https://panelphuson.vn         https://javta.vn</t>
  </si>
  <si>
    <t>LỆNH SẢN XUẤT KIÊM PHIẾU XUẤT KHO</t>
  </si>
  <si>
    <t>Số:</t>
  </si>
  <si>
    <t>Thời gian giao:</t>
  </si>
  <si>
    <t>Người nhận hàng:</t>
  </si>
  <si>
    <t>Giao hàng tại:</t>
  </si>
  <si>
    <t>Nhân viên KD:</t>
  </si>
  <si>
    <t xml:space="preserve">Điện thoại KD: </t>
  </si>
  <si>
    <t>0866.98.93.99</t>
  </si>
  <si>
    <t>Chèn dòng này</t>
  </si>
  <si>
    <t>Khách hàng nhận hàng lúc: …….... giờ …….. phút, ngày …..  tháng ….. năm 2026</t>
  </si>
  <si>
    <t>Ghi chú: Khổ &gt;600 tùy từng đơn hàng tính giá tương ứng khối lượng tôn xả cho hợp lý</t>
  </si>
  <si>
    <t>Người lập phiếu                   Người nhận hàng                     Lái xe                       Thủ kho                     BGĐ Nhà máy</t>
  </si>
  <si>
    <t xml:space="preserve"> (ký, ghi rõ họ tên)                       (ký, ghi rõ họ tên)                 (ký, ghi rõ họ tên)          (ký, ghi rõ họ tên)                 (ký, ghi rõ họ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</si>
</sst>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_ ;\-#,##0\ "/>
    <numFmt numFmtId="166" formatCode="#,##0.0"/>
  </numFmts>
  <fonts count="33" x14ac:knownFonts="1">
    <font>
      <sz val="10"/>
      <color theme="1"/>
      <name val="Arial"/>
      <family val="2"/>
    </font>
    <font>
      <b/>
      <sz val="11"/>
      <color theme="1"/>
      <name val="Arial"/>
      <family val="2"/>
    </font>
    <font>
      <sz val="11"/>
      <color theme="1"/>
      <name val="Arial"/>
      <family val="2"/>
    </font>
    <font>
      <b/>
      <sz val="11"/>
      <color theme="1"/>
      <name val="Calibri"/>
      <family val="2"/>
      <scheme val="minor"/>
    </font>
    <font>
      <sz val="11"/>
      <name val="Arial"/>
      <family val="2"/>
    </font>
    <font>
      <sz val="11"/>
      <color theme="1"/>
      <name val="Calibri"/>
      <family val="2"/>
      <scheme val="minor"/>
    </font>
    <font>
      <u/>
      <sz val="11"/>
      <color theme="10"/>
      <name val="Arial"/>
      <family val="2"/>
    </font>
    <font>
      <u/>
      <sz val="11"/>
      <color theme="10"/>
      <name val="Calibri"/>
      <family val="2"/>
    </font>
    <font>
      <sz val="11"/>
      <color theme="1"/>
      <name val="Times New Roman"/>
      <family val="1"/>
    </font>
    <font>
      <b/>
      <sz val="12"/>
      <color rgb="FFE97E0A"/>
      <name val="Times New Roman"/>
      <family val="1"/>
    </font>
    <font>
      <sz val="11"/>
      <color theme="0"/>
      <name val="Times New Roman"/>
      <family val="1"/>
    </font>
    <font>
      <b/>
      <sz val="12"/>
      <color theme="1"/>
      <name val="Times New Roman"/>
      <family val="1"/>
    </font>
    <font>
      <sz val="12"/>
      <color theme="1"/>
      <name val="Times New Roman"/>
      <family val="1"/>
    </font>
    <font>
      <sz val="9"/>
      <color theme="1"/>
      <name val="Arial"/>
      <family val="2"/>
    </font>
    <font>
      <sz val="12"/>
      <name val="Times New Roman"/>
      <family val="1"/>
    </font>
    <font>
      <sz val="10"/>
      <name val="Arial"/>
      <family val="2"/>
    </font>
    <font>
      <b/>
      <sz val="15"/>
      <color rgb="FF0B9649"/>
      <name val="Times New Roman"/>
      <family val="1"/>
    </font>
    <font>
      <i/>
      <sz val="11"/>
      <color theme="1"/>
      <name val="Times New Roman"/>
      <family val="1"/>
    </font>
    <font>
      <vertAlign val="superscript"/>
      <sz val="12"/>
      <color theme="1"/>
      <name val="Times New Roman"/>
      <family val="1"/>
    </font>
    <font>
      <sz val="12"/>
      <color theme="1"/>
      <name val="Arial"/>
      <family val="2"/>
    </font>
    <font>
      <i/>
      <sz val="12"/>
      <color theme="1"/>
      <name val="Times New Roman"/>
      <family val="1"/>
    </font>
    <font>
      <b/>
      <u/>
      <sz val="12"/>
      <color theme="1"/>
      <name val="Times New Roman"/>
      <family val="1"/>
    </font>
    <font>
      <sz val="12"/>
      <color theme="0"/>
      <name val="Times New Roman"/>
      <family val="1"/>
    </font>
    <font>
      <sz val="11"/>
      <color rgb="FFFF0000"/>
      <name val="Times New Roman"/>
      <family val="1"/>
    </font>
    <font>
      <vertAlign val="superscript"/>
      <sz val="11"/>
      <color theme="1"/>
      <name val="Times New Roman"/>
      <family val="1"/>
    </font>
    <font>
      <i/>
      <sz val="12"/>
      <name val="Times New Roman"/>
      <family val="1"/>
    </font>
    <font>
      <b/>
      <sz val="14"/>
      <name val="Times New Roman"/>
      <family val="1"/>
    </font>
    <font>
      <b/>
      <sz val="12"/>
      <name val="Times New Roman"/>
      <family val="1"/>
    </font>
    <font>
      <b/>
      <sz val="18"/>
      <color theme="1"/>
      <name val="Times New Roman"/>
      <family val="1"/>
    </font>
    <font>
      <b/>
      <sz val="15"/>
      <color theme="1"/>
      <name val="Times New Roman"/>
      <family val="1"/>
    </font>
    <font>
      <sz val="11"/>
      <name val="Times New Roman"/>
      <family val="1"/>
    </font>
    <font>
      <b/>
      <sz val="11"/>
      <color theme="1"/>
      <name val="Times New Roman"/>
      <family val="1"/>
    </font>
    <font>
      <i/>
      <sz val="10"/>
      <color theme="1"/>
      <name val="Times New Roman"/>
      <family val="1"/>
    </font>
  </fonts>
  <fills count="9">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0B9649"/>
        <bgColor indexed="64"/>
      </patternFill>
    </fill>
    <fill>
      <patternFill patternType="solid">
        <fgColor theme="8" tint="0.39997558519241921"/>
        <bgColor indexed="64"/>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229">
    <xf numFmtId="0" fontId="0" fillId="0" borderId="0" xfId="0"/>
    <xf numFmtId="0" fontId="1" fillId="0" borderId="0" xfId="0" applyFont="1" applyAlignment="1">
      <alignment horizontal="center" vertical="center"/>
    </xf>
    <xf numFmtId="4" fontId="1" fillId="0" borderId="0" xfId="0" applyNumberFormat="1" applyFont="1" applyAlignment="1">
      <alignment horizontal="center" vertical="center"/>
    </xf>
    <xf numFmtId="0" fontId="2" fillId="0" borderId="0" xfId="0" applyFont="1" applyAlignment="1">
      <alignment vertical="center" wrapText="1"/>
    </xf>
    <xf numFmtId="49" fontId="1" fillId="0" borderId="0" xfId="0" applyNumberFormat="1" applyFont="1" applyAlignment="1">
      <alignment horizontal="center" vertical="center"/>
    </xf>
    <xf numFmtId="49" fontId="1" fillId="0" borderId="0" xfId="0" applyNumberFormat="1" applyFont="1" applyAlignment="1">
      <alignment horizontal="center" vertical="center" wrapText="1"/>
    </xf>
    <xf numFmtId="0" fontId="3" fillId="0" borderId="0" xfId="0" applyFont="1" applyAlignment="1">
      <alignment horizontal="center" vertical="center"/>
    </xf>
    <xf numFmtId="0" fontId="1" fillId="0" borderId="1" xfId="0" applyFont="1" applyBorder="1" applyAlignment="1">
      <alignment horizontal="center" vertical="center" wrapText="1"/>
    </xf>
    <xf numFmtId="1" fontId="1" fillId="0" borderId="1" xfId="0" applyNumberFormat="1" applyFont="1" applyBorder="1" applyAlignment="1">
      <alignment horizontal="center" vertical="center"/>
    </xf>
    <xf numFmtId="4"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49" fontId="1"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xf>
    <xf numFmtId="0" fontId="1" fillId="0" borderId="2" xfId="0" applyFont="1" applyBorder="1" applyAlignment="1">
      <alignment horizontal="center" vertical="center"/>
    </xf>
    <xf numFmtId="0" fontId="4" fillId="0" borderId="3" xfId="0" applyFont="1" applyBorder="1" applyAlignment="1">
      <alignment vertical="center"/>
    </xf>
    <xf numFmtId="0" fontId="4" fillId="0" borderId="4" xfId="0" applyFont="1" applyBorder="1" applyAlignment="1">
      <alignment vertical="center"/>
    </xf>
    <xf numFmtId="0" fontId="1" fillId="0" borderId="5" xfId="0" applyFont="1" applyBorder="1" applyAlignment="1">
      <alignment vertical="center"/>
    </xf>
    <xf numFmtId="0" fontId="1" fillId="0" borderId="0" xfId="0" applyFont="1" applyAlignment="1">
      <alignment vertical="center"/>
    </xf>
    <xf numFmtId="0" fontId="5" fillId="0" borderId="0" xfId="0" applyFont="1" applyAlignment="1">
      <alignment vertical="center"/>
    </xf>
    <xf numFmtId="0" fontId="4" fillId="0" borderId="6" xfId="0" applyFont="1" applyBorder="1" applyAlignment="1">
      <alignment vertical="center"/>
    </xf>
    <xf numFmtId="4" fontId="4" fillId="0" borderId="6" xfId="0" applyNumberFormat="1" applyFont="1" applyBorder="1" applyAlignment="1">
      <alignment vertical="center"/>
    </xf>
    <xf numFmtId="0" fontId="1" fillId="0" borderId="6" xfId="0" applyFont="1" applyBorder="1" applyAlignment="1">
      <alignment horizontal="center" vertical="center"/>
    </xf>
    <xf numFmtId="0" fontId="1" fillId="0" borderId="7" xfId="0" applyFont="1" applyBorder="1" applyAlignment="1">
      <alignment horizontal="left" vertical="center" wrapText="1"/>
    </xf>
    <xf numFmtId="0" fontId="1" fillId="0" borderId="7" xfId="0" applyFont="1" applyBorder="1" applyAlignment="1">
      <alignment horizontal="center" vertical="center" wrapText="1"/>
    </xf>
    <xf numFmtId="0" fontId="1" fillId="0" borderId="7" xfId="0" applyFont="1" applyBorder="1" applyAlignment="1">
      <alignment vertical="center" wrapText="1"/>
    </xf>
    <xf numFmtId="0" fontId="1" fillId="0" borderId="7" xfId="0" applyFont="1" applyBorder="1" applyAlignment="1">
      <alignment vertical="center"/>
    </xf>
    <xf numFmtId="0" fontId="1" fillId="0" borderId="7" xfId="0" applyFont="1" applyBorder="1" applyAlignment="1">
      <alignment horizontal="center" vertical="center"/>
    </xf>
    <xf numFmtId="1" fontId="1" fillId="0" borderId="7" xfId="0" applyNumberFormat="1" applyFont="1" applyBorder="1" applyAlignment="1">
      <alignment horizontal="center" vertical="center"/>
    </xf>
    <xf numFmtId="4" fontId="1" fillId="0" borderId="7" xfId="0" applyNumberFormat="1" applyFont="1" applyBorder="1" applyAlignment="1">
      <alignment horizontal="center" vertical="center"/>
    </xf>
    <xf numFmtId="49" fontId="1" fillId="0" borderId="7" xfId="0" applyNumberFormat="1" applyFont="1" applyBorder="1" applyAlignment="1">
      <alignment horizontal="center" vertical="center" wrapText="1"/>
    </xf>
    <xf numFmtId="49" fontId="1" fillId="0" borderId="7" xfId="0" applyNumberFormat="1" applyFont="1" applyBorder="1" applyAlignment="1">
      <alignment horizontal="center" vertical="center"/>
    </xf>
    <xf numFmtId="0" fontId="1" fillId="0" borderId="6" xfId="0" applyFont="1" applyBorder="1" applyAlignment="1">
      <alignment horizontal="center" vertical="center"/>
    </xf>
    <xf numFmtId="49" fontId="1" fillId="0" borderId="6" xfId="0" applyNumberFormat="1" applyFont="1" applyBorder="1" applyAlignment="1">
      <alignment horizontal="center" vertical="center"/>
    </xf>
    <xf numFmtId="1" fontId="2" fillId="0" borderId="7" xfId="0" applyNumberFormat="1" applyFont="1" applyBorder="1" applyAlignment="1">
      <alignment horizontal="center" vertical="center"/>
    </xf>
    <xf numFmtId="4" fontId="2" fillId="0" borderId="0" xfId="0" applyNumberFormat="1" applyFont="1" applyAlignment="1">
      <alignment vertical="center"/>
    </xf>
    <xf numFmtId="0" fontId="2" fillId="0" borderId="7" xfId="0" applyFont="1" applyBorder="1" applyAlignment="1">
      <alignment horizontal="left" vertical="center" wrapText="1"/>
    </xf>
    <xf numFmtId="49" fontId="2" fillId="0" borderId="7" xfId="0" applyNumberFormat="1" applyFont="1" applyBorder="1" applyAlignment="1">
      <alignment horizontal="center" vertical="center" wrapText="1"/>
    </xf>
    <xf numFmtId="0" fontId="2" fillId="0" borderId="7" xfId="0" applyFont="1" applyBorder="1" applyAlignment="1">
      <alignment horizontal="center" vertical="center"/>
    </xf>
    <xf numFmtId="49" fontId="2" fillId="0" borderId="7" xfId="0" applyNumberFormat="1" applyFont="1" applyBorder="1" applyAlignment="1">
      <alignment horizontal="center" vertical="center"/>
    </xf>
    <xf numFmtId="0" fontId="2" fillId="0" borderId="7" xfId="0" applyFont="1" applyBorder="1" applyAlignment="1">
      <alignment horizontal="center" vertical="center" wrapText="1"/>
    </xf>
    <xf numFmtId="0" fontId="2" fillId="0" borderId="7" xfId="0" applyFont="1" applyBorder="1" applyAlignment="1">
      <alignment vertical="center" wrapText="1"/>
    </xf>
    <xf numFmtId="0" fontId="6" fillId="0" borderId="7" xfId="0" applyFont="1" applyBorder="1" applyAlignment="1">
      <alignment horizontal="left" vertical="center"/>
    </xf>
    <xf numFmtId="0" fontId="2" fillId="0" borderId="7" xfId="0" applyFont="1" applyBorder="1" applyAlignment="1">
      <alignment vertical="center"/>
    </xf>
    <xf numFmtId="49" fontId="2" fillId="0" borderId="7" xfId="0" applyNumberFormat="1" applyFont="1" applyBorder="1" applyAlignment="1">
      <alignment vertical="center"/>
    </xf>
    <xf numFmtId="0" fontId="2" fillId="0" borderId="0" xfId="0" applyFont="1" applyAlignment="1">
      <alignment vertical="center"/>
    </xf>
    <xf numFmtId="4" fontId="2" fillId="0" borderId="7" xfId="0" applyNumberFormat="1" applyFont="1" applyBorder="1" applyAlignment="1">
      <alignment horizontal="center" vertical="center"/>
    </xf>
    <xf numFmtId="0" fontId="7" fillId="0" borderId="7" xfId="0" applyFont="1" applyBorder="1" applyAlignment="1">
      <alignment horizontal="left" vertical="center"/>
    </xf>
    <xf numFmtId="0" fontId="2" fillId="0" borderId="7" xfId="0" applyFont="1" applyBorder="1" applyAlignment="1">
      <alignment horizontal="left" vertical="center"/>
    </xf>
    <xf numFmtId="0" fontId="2" fillId="0" borderId="0" xfId="0" applyFont="1" applyAlignment="1">
      <alignment horizontal="left" vertical="center" wrapText="1"/>
    </xf>
    <xf numFmtId="0" fontId="0" fillId="0" borderId="0" xfId="0" applyAlignment="1">
      <alignment vertical="center"/>
    </xf>
    <xf numFmtId="0" fontId="2" fillId="0" borderId="0" xfId="0" applyFont="1" applyAlignment="1">
      <alignment horizontal="center" vertical="center"/>
    </xf>
    <xf numFmtId="1" fontId="2" fillId="0" borderId="0" xfId="0" applyNumberFormat="1" applyFont="1" applyAlignment="1">
      <alignment horizontal="center" vertical="center"/>
    </xf>
    <xf numFmtId="4" fontId="2" fillId="0" borderId="0" xfId="0" applyNumberFormat="1" applyFont="1" applyAlignment="1">
      <alignment horizontal="center" vertical="center"/>
    </xf>
    <xf numFmtId="49" fontId="2" fillId="0" borderId="0" xfId="0" applyNumberFormat="1" applyFont="1" applyAlignment="1">
      <alignment horizontal="center" vertical="center" wrapText="1"/>
    </xf>
    <xf numFmtId="49" fontId="2" fillId="0" borderId="0" xfId="0" applyNumberFormat="1" applyFont="1" applyAlignment="1">
      <alignment vertical="center"/>
    </xf>
    <xf numFmtId="0" fontId="2" fillId="0" borderId="0" xfId="0" applyFont="1" applyAlignment="1">
      <alignment horizontal="left" vertical="center"/>
    </xf>
    <xf numFmtId="4" fontId="5" fillId="0" borderId="0" xfId="0" applyNumberFormat="1" applyFont="1" applyAlignment="1">
      <alignment vertical="center"/>
    </xf>
    <xf numFmtId="0" fontId="8" fillId="0" borderId="0" xfId="0" applyFont="1" applyAlignment="1">
      <alignment horizontal="center" vertical="center"/>
    </xf>
    <xf numFmtId="0" fontId="9" fillId="0" borderId="0" xfId="0" applyFont="1" applyAlignment="1">
      <alignment horizontal="left" vertical="center"/>
    </xf>
    <xf numFmtId="2" fontId="8" fillId="0" borderId="0" xfId="0" applyNumberFormat="1" applyFont="1" applyAlignment="1">
      <alignment horizontal="center" vertical="center"/>
    </xf>
    <xf numFmtId="164" fontId="8" fillId="0" borderId="0" xfId="0" applyNumberFormat="1" applyFont="1" applyAlignment="1">
      <alignment horizontal="center" vertical="center"/>
    </xf>
    <xf numFmtId="4" fontId="8" fillId="0" borderId="0" xfId="0" applyNumberFormat="1" applyFont="1" applyAlignment="1">
      <alignment horizontal="center" vertical="center"/>
    </xf>
    <xf numFmtId="3" fontId="8" fillId="0" borderId="0" xfId="0" applyNumberFormat="1" applyFont="1" applyAlignment="1">
      <alignment horizontal="center" vertical="center"/>
    </xf>
    <xf numFmtId="3" fontId="10" fillId="0" borderId="0" xfId="0" applyNumberFormat="1" applyFont="1" applyAlignment="1">
      <alignment horizontal="center" vertical="center"/>
    </xf>
    <xf numFmtId="0" fontId="10" fillId="0" borderId="0" xfId="0" applyFont="1" applyAlignment="1">
      <alignment horizontal="left" vertical="center"/>
    </xf>
    <xf numFmtId="0" fontId="11" fillId="3" borderId="8" xfId="0" applyFont="1" applyFill="1" applyBorder="1" applyAlignment="1">
      <alignment horizontal="left" vertical="center"/>
    </xf>
    <xf numFmtId="165" fontId="8" fillId="0" borderId="8" xfId="0" applyNumberFormat="1" applyFont="1" applyBorder="1" applyAlignment="1">
      <alignment horizontal="center" vertical="center"/>
    </xf>
    <xf numFmtId="0" fontId="12" fillId="0" borderId="0" xfId="0" applyFont="1" applyAlignment="1">
      <alignment horizontal="center" vertical="center"/>
    </xf>
    <xf numFmtId="3" fontId="13" fillId="4" borderId="8" xfId="0" applyNumberFormat="1" applyFont="1" applyFill="1" applyBorder="1" applyAlignment="1">
      <alignment horizontal="center"/>
    </xf>
    <xf numFmtId="0" fontId="13" fillId="4" borderId="8" xfId="0" applyFont="1" applyFill="1" applyBorder="1" applyAlignment="1">
      <alignment horizontal="center"/>
    </xf>
    <xf numFmtId="166" fontId="8" fillId="0" borderId="0" xfId="0" applyNumberFormat="1" applyFont="1" applyAlignment="1">
      <alignment horizontal="center" vertical="center"/>
    </xf>
    <xf numFmtId="0" fontId="12" fillId="0" borderId="0" xfId="0" applyFont="1" applyAlignment="1">
      <alignment horizontal="left" vertical="center"/>
    </xf>
    <xf numFmtId="164" fontId="12" fillId="0" borderId="0" xfId="0" applyNumberFormat="1" applyFont="1" applyAlignment="1">
      <alignment horizontal="left" vertical="center"/>
    </xf>
    <xf numFmtId="0" fontId="14" fillId="0" borderId="0" xfId="0" applyFont="1" applyAlignment="1">
      <alignment horizontal="left" vertical="center"/>
    </xf>
    <xf numFmtId="164" fontId="14" fillId="0" borderId="0" xfId="0" applyNumberFormat="1" applyFont="1" applyAlignment="1">
      <alignment horizontal="left" vertical="center"/>
    </xf>
    <xf numFmtId="0" fontId="15" fillId="0" borderId="0" xfId="0" applyFont="1"/>
    <xf numFmtId="14" fontId="8" fillId="0" borderId="8" xfId="0" applyNumberFormat="1" applyFont="1" applyBorder="1" applyAlignment="1">
      <alignment horizontal="center" vertical="center"/>
    </xf>
    <xf numFmtId="166" fontId="16" fillId="0" borderId="0" xfId="0" applyNumberFormat="1" applyFont="1" applyAlignment="1">
      <alignment horizontal="center"/>
    </xf>
    <xf numFmtId="166" fontId="16" fillId="0" borderId="0" xfId="0" applyNumberFormat="1" applyFont="1" applyAlignment="1">
      <alignment horizontal="center" vertical="center"/>
    </xf>
    <xf numFmtId="0" fontId="8" fillId="0" borderId="8" xfId="0" applyFont="1" applyBorder="1" applyAlignment="1">
      <alignment horizontal="center" vertical="center"/>
    </xf>
    <xf numFmtId="0" fontId="12" fillId="0" borderId="0" xfId="0" applyFont="1" applyAlignment="1">
      <alignment horizontal="right" vertical="center"/>
    </xf>
    <xf numFmtId="0" fontId="17" fillId="0" borderId="0" xfId="0" applyFont="1" applyAlignment="1">
      <alignment horizontal="center" vertical="top"/>
    </xf>
    <xf numFmtId="166" fontId="12" fillId="0" borderId="0" xfId="0" applyNumberFormat="1" applyFont="1" applyAlignment="1">
      <alignment horizontal="left" vertical="center"/>
    </xf>
    <xf numFmtId="166" fontId="12" fillId="0" borderId="0" xfId="0" applyNumberFormat="1" applyFont="1" applyAlignment="1">
      <alignment horizontal="left" vertical="center" wrapText="1"/>
    </xf>
    <xf numFmtId="4" fontId="12" fillId="0" borderId="0" xfId="0" applyNumberFormat="1" applyFont="1" applyAlignment="1">
      <alignment horizontal="left" vertical="center"/>
    </xf>
    <xf numFmtId="166" fontId="14" fillId="0" borderId="0" xfId="0" applyNumberFormat="1" applyFont="1" applyAlignment="1">
      <alignment vertical="center" wrapText="1"/>
    </xf>
    <xf numFmtId="166" fontId="12" fillId="0" borderId="0" xfId="0" applyNumberFormat="1" applyFont="1" applyAlignment="1">
      <alignment horizontal="left" vertical="center" wrapText="1"/>
    </xf>
    <xf numFmtId="166" fontId="12" fillId="0" borderId="0" xfId="0" applyNumberFormat="1" applyFont="1" applyAlignment="1">
      <alignment horizontal="center" vertical="center"/>
    </xf>
    <xf numFmtId="0" fontId="13" fillId="4" borderId="8" xfId="0" applyFont="1" applyFill="1" applyBorder="1" applyAlignment="1">
      <alignment horizontal="left"/>
    </xf>
    <xf numFmtId="166" fontId="14" fillId="0" borderId="0" xfId="0" quotePrefix="1" applyNumberFormat="1" applyFont="1" applyAlignment="1">
      <alignment vertical="center" wrapText="1"/>
    </xf>
    <xf numFmtId="166" fontId="12" fillId="0" borderId="0" xfId="0" quotePrefix="1" applyNumberFormat="1" applyFont="1" applyAlignment="1">
      <alignment horizontal="left" vertical="center" wrapText="1"/>
    </xf>
    <xf numFmtId="14" fontId="12" fillId="0" borderId="0" xfId="0" applyNumberFormat="1" applyFont="1" applyAlignment="1">
      <alignment vertical="center" wrapText="1"/>
    </xf>
    <xf numFmtId="14" fontId="12" fillId="0" borderId="0" xfId="0" applyNumberFormat="1" applyFont="1" applyAlignment="1">
      <alignment horizontal="left" vertical="center" wrapText="1"/>
    </xf>
    <xf numFmtId="3" fontId="12" fillId="0" borderId="0" xfId="0" quotePrefix="1" applyNumberFormat="1" applyFont="1" applyAlignment="1">
      <alignment horizontal="left" vertical="center" wrapText="1"/>
    </xf>
    <xf numFmtId="0" fontId="12" fillId="0" borderId="9" xfId="0" applyFont="1" applyBorder="1" applyAlignment="1">
      <alignment horizontal="left" vertical="center" wrapText="1"/>
    </xf>
    <xf numFmtId="0" fontId="12" fillId="5" borderId="0" xfId="0" applyFont="1" applyFill="1" applyAlignment="1">
      <alignment horizontal="center" vertical="center" wrapText="1"/>
    </xf>
    <xf numFmtId="0" fontId="11" fillId="6" borderId="8" xfId="0" applyFont="1" applyFill="1" applyBorder="1" applyAlignment="1">
      <alignment horizontal="center" vertical="center"/>
    </xf>
    <xf numFmtId="0" fontId="11" fillId="6" borderId="8" xfId="0" applyFont="1" applyFill="1" applyBorder="1" applyAlignment="1">
      <alignment horizontal="center" vertical="center"/>
    </xf>
    <xf numFmtId="0" fontId="11" fillId="6" borderId="8" xfId="0" applyFont="1" applyFill="1" applyBorder="1" applyAlignment="1">
      <alignment horizontal="center" vertical="center" wrapText="1"/>
    </xf>
    <xf numFmtId="2" fontId="11" fillId="6" borderId="8" xfId="0" applyNumberFormat="1" applyFont="1" applyFill="1" applyBorder="1" applyAlignment="1">
      <alignment horizontal="center" vertical="center" wrapText="1"/>
    </xf>
    <xf numFmtId="164" fontId="11" fillId="6" borderId="8" xfId="0" applyNumberFormat="1" applyFont="1" applyFill="1" applyBorder="1" applyAlignment="1">
      <alignment horizontal="center" vertical="center" wrapText="1"/>
    </xf>
    <xf numFmtId="4" fontId="11" fillId="6" borderId="8" xfId="0" applyNumberFormat="1" applyFont="1" applyFill="1" applyBorder="1" applyAlignment="1">
      <alignment horizontal="center" vertical="center" wrapText="1"/>
    </xf>
    <xf numFmtId="3" fontId="11" fillId="6" borderId="8" xfId="0" applyNumberFormat="1" applyFont="1" applyFill="1" applyBorder="1" applyAlignment="1">
      <alignment horizontal="center" vertical="center" wrapText="1"/>
    </xf>
    <xf numFmtId="0" fontId="12" fillId="0" borderId="0" xfId="0" applyFont="1" applyAlignment="1">
      <alignment horizontal="left" vertical="center" wrapText="1"/>
    </xf>
    <xf numFmtId="0" fontId="11" fillId="0" borderId="8" xfId="0" applyFont="1" applyBorder="1" applyAlignment="1">
      <alignment horizontal="center" vertical="center"/>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12" fillId="0" borderId="12" xfId="0" applyFont="1" applyBorder="1" applyAlignment="1">
      <alignment horizontal="left" vertical="center" wrapText="1"/>
    </xf>
    <xf numFmtId="0" fontId="11" fillId="0" borderId="8" xfId="0" applyFont="1" applyBorder="1" applyAlignment="1">
      <alignment horizontal="left" vertical="center"/>
    </xf>
    <xf numFmtId="2" fontId="11" fillId="0" borderId="8" xfId="0" applyNumberFormat="1" applyFont="1" applyBorder="1" applyAlignment="1">
      <alignment horizontal="center" vertical="center"/>
    </xf>
    <xf numFmtId="164" fontId="11" fillId="0" borderId="8" xfId="0" applyNumberFormat="1" applyFont="1" applyBorder="1" applyAlignment="1">
      <alignment horizontal="center" vertical="center"/>
    </xf>
    <xf numFmtId="4" fontId="11" fillId="0" borderId="8" xfId="0" applyNumberFormat="1" applyFont="1" applyBorder="1" applyAlignment="1">
      <alignment horizontal="right" vertical="center"/>
    </xf>
    <xf numFmtId="3" fontId="11" fillId="0" borderId="8"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left" vertical="center"/>
    </xf>
    <xf numFmtId="2" fontId="12" fillId="0" borderId="8" xfId="0" applyNumberFormat="1" applyFont="1" applyBorder="1" applyAlignment="1">
      <alignment horizontal="center" vertical="center"/>
    </xf>
    <xf numFmtId="164" fontId="12" fillId="0" borderId="8" xfId="0" applyNumberFormat="1" applyFont="1" applyBorder="1" applyAlignment="1">
      <alignment horizontal="center" vertical="center"/>
    </xf>
    <xf numFmtId="4" fontId="12" fillId="0" borderId="8" xfId="0" applyNumberFormat="1" applyFont="1" applyBorder="1" applyAlignment="1">
      <alignment horizontal="right" vertical="center"/>
    </xf>
    <xf numFmtId="3" fontId="12" fillId="0" borderId="8" xfId="0" applyNumberFormat="1" applyFont="1" applyBorder="1" applyAlignment="1">
      <alignment horizontal="center" vertical="center"/>
    </xf>
    <xf numFmtId="4" fontId="12" fillId="0" borderId="11" xfId="0" applyNumberFormat="1" applyFont="1" applyBorder="1" applyAlignment="1">
      <alignment horizontal="left" vertical="center" wrapText="1"/>
    </xf>
    <xf numFmtId="0" fontId="12" fillId="0" borderId="8" xfId="0" applyFont="1" applyBorder="1" applyAlignment="1">
      <alignment horizontal="left" vertical="center" wrapText="1"/>
    </xf>
    <xf numFmtId="0" fontId="11" fillId="0" borderId="10" xfId="0" applyFont="1" applyBorder="1" applyAlignment="1">
      <alignment horizontal="left" vertical="center" wrapText="1"/>
    </xf>
    <xf numFmtId="0" fontId="11" fillId="0" borderId="11" xfId="0" applyFont="1" applyBorder="1" applyAlignment="1">
      <alignment horizontal="left" vertical="center" wrapText="1"/>
    </xf>
    <xf numFmtId="0" fontId="11" fillId="0" borderId="12" xfId="0" applyFont="1" applyBorder="1" applyAlignment="1">
      <alignment horizontal="left" vertical="center" wrapText="1"/>
    </xf>
    <xf numFmtId="0" fontId="11" fillId="0" borderId="10" xfId="0" applyFont="1" applyBorder="1" applyAlignment="1">
      <alignment horizontal="left" vertical="center"/>
    </xf>
    <xf numFmtId="0" fontId="11" fillId="0" borderId="11" xfId="0" applyFont="1" applyBorder="1" applyAlignment="1">
      <alignment horizontal="left" vertical="center"/>
    </xf>
    <xf numFmtId="0" fontId="11" fillId="0" borderId="12" xfId="0" applyFont="1" applyBorder="1" applyAlignment="1">
      <alignment horizontal="left" vertical="center"/>
    </xf>
    <xf numFmtId="0" fontId="11" fillId="0" borderId="12" xfId="0" applyFont="1" applyBorder="1" applyAlignment="1">
      <alignment horizontal="left" vertical="center"/>
    </xf>
    <xf numFmtId="4" fontId="11" fillId="0" borderId="8" xfId="0" applyNumberFormat="1" applyFont="1" applyBorder="1" applyAlignment="1">
      <alignment horizontal="center" vertical="center"/>
    </xf>
    <xf numFmtId="4" fontId="12" fillId="0" borderId="8" xfId="0" applyNumberFormat="1" applyFont="1" applyBorder="1" applyAlignment="1">
      <alignment horizontal="center" vertical="center"/>
    </xf>
    <xf numFmtId="0" fontId="20" fillId="0" borderId="0" xfId="0" applyFont="1" applyAlignment="1">
      <alignment horizontal="left" vertical="center"/>
    </xf>
    <xf numFmtId="0" fontId="12" fillId="0" borderId="10" xfId="0" applyFont="1" applyBorder="1" applyAlignment="1">
      <alignment horizontal="left" vertical="center"/>
    </xf>
    <xf numFmtId="0" fontId="12" fillId="0" borderId="12" xfId="0" applyFont="1" applyBorder="1" applyAlignment="1">
      <alignment horizontal="left" vertical="center"/>
    </xf>
    <xf numFmtId="3" fontId="11" fillId="0" borderId="12" xfId="0" applyNumberFormat="1" applyFont="1" applyBorder="1" applyAlignment="1">
      <alignment horizontal="center" vertical="center"/>
    </xf>
    <xf numFmtId="3" fontId="11" fillId="0" borderId="8" xfId="0" applyNumberFormat="1" applyFont="1" applyBorder="1" applyAlignment="1">
      <alignment horizontal="left" vertical="center"/>
    </xf>
    <xf numFmtId="0" fontId="12" fillId="0" borderId="8" xfId="0" applyFont="1" applyBorder="1" applyAlignment="1">
      <alignment horizontal="left" vertical="center"/>
    </xf>
    <xf numFmtId="3" fontId="12" fillId="0" borderId="10" xfId="0" applyNumberFormat="1" applyFont="1" applyBorder="1" applyAlignment="1">
      <alignment horizontal="center" vertical="center"/>
    </xf>
    <xf numFmtId="3" fontId="12" fillId="0" borderId="12" xfId="0" applyNumberFormat="1" applyFont="1" applyBorder="1" applyAlignment="1">
      <alignment horizontal="center" vertical="center"/>
    </xf>
    <xf numFmtId="3" fontId="12" fillId="0" borderId="12" xfId="0" applyNumberFormat="1" applyFont="1" applyBorder="1" applyAlignment="1">
      <alignment horizontal="center" vertical="center"/>
    </xf>
    <xf numFmtId="0" fontId="11" fillId="0" borderId="13" xfId="0" applyFont="1" applyBorder="1" applyAlignment="1">
      <alignment horizontal="left" vertical="center"/>
    </xf>
    <xf numFmtId="0" fontId="20" fillId="0" borderId="13" xfId="0" applyFont="1" applyBorder="1" applyAlignment="1">
      <alignment vertical="center"/>
    </xf>
    <xf numFmtId="164" fontId="20" fillId="0" borderId="13" xfId="0" applyNumberFormat="1" applyFont="1" applyBorder="1" applyAlignment="1">
      <alignment vertical="center"/>
    </xf>
    <xf numFmtId="0" fontId="20" fillId="0" borderId="0" xfId="0" applyFont="1" applyAlignment="1">
      <alignment vertical="center"/>
    </xf>
    <xf numFmtId="0" fontId="21" fillId="0" borderId="0" xfId="0" applyFont="1" applyAlignment="1">
      <alignment horizontal="left" vertical="center"/>
    </xf>
    <xf numFmtId="2" fontId="12" fillId="0" borderId="0" xfId="0" applyNumberFormat="1" applyFont="1" applyAlignment="1">
      <alignment horizontal="center" vertical="center"/>
    </xf>
    <xf numFmtId="164" fontId="12" fillId="0" borderId="0" xfId="0" applyNumberFormat="1" applyFont="1" applyAlignment="1">
      <alignment horizontal="center" vertical="center"/>
    </xf>
    <xf numFmtId="4" fontId="12" fillId="0" borderId="0" xfId="0" applyNumberFormat="1" applyFont="1" applyAlignment="1">
      <alignment horizontal="center" vertical="center"/>
    </xf>
    <xf numFmtId="3" fontId="12" fillId="0" borderId="0" xfId="0" applyNumberFormat="1" applyFont="1" applyAlignment="1">
      <alignment horizontal="center" vertical="center"/>
    </xf>
    <xf numFmtId="3" fontId="22" fillId="0" borderId="0" xfId="0" applyNumberFormat="1" applyFont="1" applyAlignment="1">
      <alignment horizontal="center" vertical="center"/>
    </xf>
    <xf numFmtId="0" fontId="23" fillId="0" borderId="0" xfId="0" applyFont="1" applyAlignment="1">
      <alignment horizontal="left"/>
    </xf>
    <xf numFmtId="0" fontId="8" fillId="0" borderId="0" xfId="0" applyFont="1" applyAlignment="1">
      <alignment horizontal="left"/>
    </xf>
    <xf numFmtId="2" fontId="8" fillId="0" borderId="0" xfId="0" applyNumberFormat="1" applyFont="1" applyAlignment="1">
      <alignment horizontal="left"/>
    </xf>
    <xf numFmtId="164" fontId="8" fillId="0" borderId="0" xfId="0" applyNumberFormat="1" applyFont="1" applyAlignment="1">
      <alignment horizontal="left"/>
    </xf>
    <xf numFmtId="4" fontId="8" fillId="0" borderId="0" xfId="0" applyNumberFormat="1" applyFont="1" applyAlignment="1">
      <alignment horizontal="left"/>
    </xf>
    <xf numFmtId="0" fontId="8" fillId="4" borderId="0" xfId="0" applyFont="1" applyFill="1" applyAlignment="1">
      <alignment horizontal="center"/>
    </xf>
    <xf numFmtId="0" fontId="21" fillId="0" borderId="0" xfId="0" applyFont="1" applyAlignment="1">
      <alignment horizontal="left" vertical="center"/>
    </xf>
    <xf numFmtId="0" fontId="12" fillId="0" borderId="0" xfId="0" quotePrefix="1" applyFont="1" applyAlignment="1">
      <alignment horizontal="left" vertical="center" wrapText="1"/>
    </xf>
    <xf numFmtId="9" fontId="12" fillId="4" borderId="0" xfId="0" applyNumberFormat="1" applyFont="1" applyFill="1" applyAlignment="1">
      <alignment horizontal="center" vertical="center"/>
    </xf>
    <xf numFmtId="0" fontId="11" fillId="0" borderId="0" xfId="0" applyFont="1" applyAlignment="1">
      <alignment horizontal="center" vertical="center"/>
    </xf>
    <xf numFmtId="0" fontId="11" fillId="0" borderId="0" xfId="0" applyFont="1" applyAlignment="1">
      <alignment vertical="center"/>
    </xf>
    <xf numFmtId="4" fontId="11" fillId="0" borderId="0" xfId="0" applyNumberFormat="1" applyFont="1" applyAlignment="1">
      <alignment vertical="center"/>
    </xf>
    <xf numFmtId="4" fontId="11" fillId="0" borderId="0" xfId="0" applyNumberFormat="1" applyFont="1" applyAlignment="1">
      <alignment horizontal="center" vertical="center"/>
    </xf>
    <xf numFmtId="4" fontId="25" fillId="0" borderId="0" xfId="0" applyNumberFormat="1" applyFont="1" applyAlignment="1">
      <alignment vertical="center"/>
    </xf>
    <xf numFmtId="4" fontId="25" fillId="0" borderId="0" xfId="0" applyNumberFormat="1" applyFont="1" applyAlignment="1">
      <alignment horizontal="center" vertical="center"/>
    </xf>
    <xf numFmtId="0" fontId="12" fillId="7" borderId="8" xfId="0" applyFont="1" applyFill="1" applyBorder="1" applyAlignment="1">
      <alignment horizontal="left" vertical="center"/>
    </xf>
    <xf numFmtId="0" fontId="11" fillId="0" borderId="0" xfId="0" applyFont="1" applyAlignment="1">
      <alignment horizontal="right" vertical="center"/>
    </xf>
    <xf numFmtId="0" fontId="26" fillId="0" borderId="0" xfId="0" quotePrefix="1" applyFont="1" applyAlignment="1">
      <alignment horizontal="center" vertical="center"/>
    </xf>
    <xf numFmtId="2" fontId="26" fillId="0" borderId="0" xfId="0" applyNumberFormat="1" applyFont="1" applyAlignment="1">
      <alignment horizontal="left" vertical="center"/>
    </xf>
    <xf numFmtId="164" fontId="14" fillId="0" borderId="0" xfId="0" applyNumberFormat="1" applyFont="1" applyAlignment="1">
      <alignment horizontal="center" vertical="center"/>
    </xf>
    <xf numFmtId="0" fontId="14" fillId="0" borderId="0" xfId="0" applyFont="1" applyAlignment="1">
      <alignment horizontal="center" vertical="center"/>
    </xf>
    <xf numFmtId="4" fontId="27" fillId="0" borderId="0" xfId="0" applyNumberFormat="1" applyFont="1" applyAlignment="1">
      <alignment horizontal="right" vertical="center"/>
    </xf>
    <xf numFmtId="22" fontId="14" fillId="0" borderId="0" xfId="0" applyNumberFormat="1" applyFont="1" applyAlignment="1">
      <alignment horizontal="left" vertical="center"/>
    </xf>
    <xf numFmtId="0" fontId="19" fillId="4" borderId="8" xfId="0" applyFont="1" applyFill="1" applyBorder="1" applyAlignment="1">
      <alignment horizontal="center"/>
    </xf>
    <xf numFmtId="0" fontId="28" fillId="0" borderId="0" xfId="0" applyFont="1" applyAlignment="1">
      <alignment vertical="center"/>
    </xf>
    <xf numFmtId="0" fontId="29" fillId="0" borderId="0" xfId="0" applyFont="1" applyAlignment="1">
      <alignment horizontal="center" vertical="center"/>
    </xf>
    <xf numFmtId="0" fontId="13" fillId="4" borderId="14" xfId="0" applyFont="1" applyFill="1" applyBorder="1" applyAlignment="1">
      <alignment horizontal="center"/>
    </xf>
    <xf numFmtId="0" fontId="11" fillId="0" borderId="0" xfId="0" applyFont="1" applyAlignment="1">
      <alignment horizontal="left" vertical="center"/>
    </xf>
    <xf numFmtId="3" fontId="12" fillId="0" borderId="0" xfId="0" applyNumberFormat="1" applyFont="1" applyAlignment="1">
      <alignment horizontal="left" vertical="center"/>
    </xf>
    <xf numFmtId="0" fontId="19" fillId="4" borderId="0" xfId="0" applyFont="1" applyFill="1" applyAlignment="1">
      <alignment horizontal="center" vertical="center"/>
    </xf>
    <xf numFmtId="0" fontId="19" fillId="4" borderId="0" xfId="0" applyFont="1" applyFill="1" applyAlignment="1">
      <alignment horizontal="left" vertical="center"/>
    </xf>
    <xf numFmtId="166" fontId="12" fillId="0" borderId="0" xfId="0" quotePrefix="1" applyNumberFormat="1" applyFont="1" applyAlignment="1">
      <alignment vertical="center" wrapText="1"/>
    </xf>
    <xf numFmtId="166" fontId="11" fillId="0" borderId="0" xfId="0" applyNumberFormat="1" applyFont="1" applyAlignment="1">
      <alignment horizontal="center" vertical="center"/>
    </xf>
    <xf numFmtId="0" fontId="12" fillId="0" borderId="0" xfId="0" applyFont="1" applyAlignment="1">
      <alignment vertical="center"/>
    </xf>
    <xf numFmtId="0" fontId="13" fillId="4" borderId="0" xfId="0" applyFont="1" applyFill="1" applyAlignment="1">
      <alignment horizontal="left" vertical="center"/>
    </xf>
    <xf numFmtId="0" fontId="12" fillId="5" borderId="0" xfId="0" applyFont="1" applyFill="1" applyAlignment="1">
      <alignment horizontal="left" vertical="center" wrapText="1"/>
    </xf>
    <xf numFmtId="0" fontId="11" fillId="0" borderId="0" xfId="0" applyFont="1" applyAlignment="1">
      <alignment horizontal="left" vertical="center"/>
    </xf>
    <xf numFmtId="2" fontId="12" fillId="0" borderId="0" xfId="0" applyNumberFormat="1" applyFont="1" applyAlignment="1">
      <alignment horizontal="left" vertical="center"/>
    </xf>
    <xf numFmtId="164" fontId="11" fillId="0" borderId="0" xfId="0" applyNumberFormat="1" applyFont="1" applyAlignment="1">
      <alignment horizontal="left" vertical="center"/>
    </xf>
    <xf numFmtId="14" fontId="12" fillId="0" borderId="0" xfId="0" applyNumberFormat="1" applyFont="1" applyAlignment="1">
      <alignment horizontal="left" vertical="center"/>
    </xf>
    <xf numFmtId="4" fontId="12" fillId="0" borderId="0" xfId="0" applyNumberFormat="1" applyFont="1" applyAlignment="1">
      <alignment vertical="center"/>
    </xf>
    <xf numFmtId="4" fontId="12" fillId="0" borderId="0" xfId="0" applyNumberFormat="1" applyFont="1" applyAlignment="1">
      <alignment horizontal="center" vertical="center"/>
    </xf>
    <xf numFmtId="0" fontId="12" fillId="0" borderId="0" xfId="0" applyFont="1" applyAlignment="1">
      <alignment horizontal="left" vertical="center"/>
    </xf>
    <xf numFmtId="164" fontId="11" fillId="0" borderId="0" xfId="0" applyNumberFormat="1" applyFont="1" applyAlignment="1">
      <alignment vertical="center"/>
    </xf>
    <xf numFmtId="3" fontId="12" fillId="0" borderId="0" xfId="0" quotePrefix="1" applyNumberFormat="1" applyFont="1" applyAlignment="1">
      <alignment horizontal="left" vertical="center"/>
    </xf>
    <xf numFmtId="0" fontId="8" fillId="0" borderId="0" xfId="0" applyFont="1" applyAlignment="1">
      <alignment vertical="center"/>
    </xf>
    <xf numFmtId="3" fontId="8" fillId="0" borderId="0" xfId="0" applyNumberFormat="1" applyFont="1" applyAlignment="1">
      <alignment horizontal="left" vertical="center"/>
    </xf>
    <xf numFmtId="0" fontId="8" fillId="0" borderId="0" xfId="0" applyFont="1" applyAlignment="1">
      <alignment horizontal="left" vertical="center"/>
    </xf>
    <xf numFmtId="2" fontId="11" fillId="0" borderId="0" xfId="0" applyNumberFormat="1" applyFont="1" applyAlignment="1">
      <alignment horizontal="center" vertical="center"/>
    </xf>
    <xf numFmtId="164" fontId="11" fillId="0" borderId="0" xfId="0" applyNumberFormat="1" applyFont="1" applyAlignment="1">
      <alignment horizontal="center" vertical="center"/>
    </xf>
    <xf numFmtId="3" fontId="11" fillId="0" borderId="0" xfId="0" applyNumberFormat="1" applyFont="1" applyAlignment="1">
      <alignment horizontal="center" vertical="center"/>
    </xf>
    <xf numFmtId="4" fontId="20" fillId="0" borderId="0" xfId="0" applyNumberFormat="1" applyFont="1" applyAlignment="1">
      <alignment horizontal="center" vertical="center"/>
    </xf>
    <xf numFmtId="166" fontId="30" fillId="0" borderId="0" xfId="0" applyNumberFormat="1" applyFont="1" applyAlignment="1">
      <alignment horizontal="center" vertical="center"/>
    </xf>
    <xf numFmtId="3" fontId="20" fillId="0" borderId="0" xfId="0" applyNumberFormat="1" applyFont="1" applyAlignment="1">
      <alignment horizontal="center" vertical="top"/>
    </xf>
    <xf numFmtId="4" fontId="11" fillId="0" borderId="0" xfId="0" applyNumberFormat="1" applyFont="1" applyAlignment="1">
      <alignment horizontal="left" vertical="center"/>
    </xf>
    <xf numFmtId="0" fontId="19" fillId="4" borderId="0" xfId="0" applyFont="1" applyFill="1" applyAlignment="1">
      <alignment horizontal="center"/>
    </xf>
    <xf numFmtId="166" fontId="12" fillId="0" borderId="0" xfId="0" applyNumberFormat="1" applyFont="1" applyAlignment="1">
      <alignment horizontal="left" vertical="center"/>
    </xf>
    <xf numFmtId="166" fontId="11" fillId="0" borderId="0" xfId="0" applyNumberFormat="1" applyFont="1" applyAlignment="1">
      <alignment vertical="center"/>
    </xf>
    <xf numFmtId="166" fontId="12" fillId="0" borderId="0" xfId="0" applyNumberFormat="1" applyFont="1" applyAlignment="1">
      <alignment vertical="center"/>
    </xf>
    <xf numFmtId="166" fontId="12" fillId="0" borderId="0" xfId="0" quotePrefix="1" applyNumberFormat="1" applyFont="1" applyAlignment="1">
      <alignment vertical="center"/>
    </xf>
    <xf numFmtId="166" fontId="12" fillId="0" borderId="0" xfId="0" applyNumberFormat="1" applyFont="1" applyAlignment="1">
      <alignment vertical="center" wrapText="1"/>
    </xf>
    <xf numFmtId="3" fontId="8" fillId="8" borderId="0" xfId="0" applyNumberFormat="1" applyFont="1" applyFill="1" applyAlignment="1">
      <alignment horizontal="center" vertical="center"/>
    </xf>
    <xf numFmtId="3" fontId="8" fillId="2" borderId="0" xfId="0" applyNumberFormat="1" applyFont="1" applyFill="1" applyAlignment="1">
      <alignment horizontal="center" vertical="center"/>
    </xf>
    <xf numFmtId="0" fontId="20" fillId="0" borderId="0" xfId="0" applyFont="1" applyAlignment="1">
      <alignment horizontal="center" vertical="center"/>
    </xf>
    <xf numFmtId="2" fontId="20" fillId="0" borderId="0" xfId="0" applyNumberFormat="1" applyFont="1" applyAlignment="1">
      <alignment horizontal="center" vertical="center"/>
    </xf>
    <xf numFmtId="164" fontId="20" fillId="0" borderId="0" xfId="0" applyNumberFormat="1" applyFont="1" applyAlignment="1">
      <alignment horizontal="center" vertical="center"/>
    </xf>
    <xf numFmtId="3" fontId="20" fillId="0" borderId="0" xfId="0" applyNumberFormat="1" applyFont="1" applyAlignment="1">
      <alignment horizontal="center" vertical="center"/>
    </xf>
    <xf numFmtId="0" fontId="31" fillId="0" borderId="0" xfId="0" applyFont="1" applyAlignment="1">
      <alignment horizontal="left"/>
    </xf>
    <xf numFmtId="0" fontId="8" fillId="0" borderId="0" xfId="0" applyFont="1" applyAlignment="1">
      <alignment horizontal="center"/>
    </xf>
    <xf numFmtId="2" fontId="8" fillId="0" borderId="0" xfId="0" applyNumberFormat="1" applyFont="1" applyAlignment="1">
      <alignment horizontal="center"/>
    </xf>
    <xf numFmtId="164" fontId="8" fillId="0" borderId="0" xfId="0" applyNumberFormat="1" applyFont="1" applyAlignment="1">
      <alignment horizontal="center"/>
    </xf>
    <xf numFmtId="4" fontId="8" fillId="0" borderId="0" xfId="0" applyNumberFormat="1" applyFont="1" applyAlignment="1">
      <alignment horizontal="center"/>
    </xf>
    <xf numFmtId="3" fontId="8" fillId="0" borderId="0" xfId="0" applyNumberFormat="1" applyFont="1" applyAlignment="1">
      <alignment horizontal="center"/>
    </xf>
    <xf numFmtId="0" fontId="32" fillId="0" borderId="0" xfId="0" applyFont="1" applyAlignment="1">
      <alignment horizontal="left" vertical="top"/>
    </xf>
    <xf numFmtId="0" fontId="32" fillId="0" borderId="0" xfId="0" applyFont="1" applyAlignment="1">
      <alignment horizontal="center" vertical="top"/>
    </xf>
    <xf numFmtId="2" fontId="32" fillId="0" borderId="0" xfId="0" applyNumberFormat="1" applyFont="1" applyAlignment="1">
      <alignment horizontal="center" vertical="top"/>
    </xf>
    <xf numFmtId="164" fontId="32" fillId="0" borderId="0" xfId="0" applyNumberFormat="1" applyFont="1" applyAlignment="1">
      <alignment horizontal="center" vertical="top"/>
    </xf>
    <xf numFmtId="4" fontId="32" fillId="0" borderId="0" xfId="0" applyNumberFormat="1" applyFont="1" applyAlignment="1">
      <alignment horizontal="center" vertical="top"/>
    </xf>
    <xf numFmtId="3" fontId="32" fillId="0" borderId="0" xfId="0" applyNumberFormat="1"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12</xdr:row>
      <xdr:rowOff>0</xdr:rowOff>
    </xdr:from>
    <xdr:to>
      <xdr:col>14</xdr:col>
      <xdr:colOff>304800</xdr:colOff>
      <xdr:row>12</xdr:row>
      <xdr:rowOff>304800</xdr:rowOff>
    </xdr:to>
    <xdr:sp macro="" textlink="">
      <xdr:nvSpPr>
        <xdr:cNvPr id="2" name="AutoShape 48" descr="data:image/png;base64,iVBORw0KGgoAAAANSUhEUgAAAEEAAAAOCAIAAAD/m+arAAAD+UlEQVRIidVWOUhrWxRdzySORSJxwBEVB3BGA0pUEOKANhElKhcLiXYWShCH2AgO2IgiUUhhoiGFUwKKQ2MKBS0ECTEGpyZYRBRyHHBG4y+O5vlz7/u/+A8+b1f7btZea+9zzt7cH4QQ/OHm938X8Bvs33toamoSi8UVFRXHx8f/Rel38bDtZw/r6+sxMTEKhWJzc9MbNBqN6+vrY2NjoaGhDQ0Nb29vNN7e3i4Wi8vKys7PzwFcX1+3trampqaGh4e3t7d706urq+fn5/+Bx+12Nzc3R0ZGDg4OsrN+BfBRByGEEOJyucLCwmQymV6v5/F4er2exiUSSWZmJiHEYrEAWFpaIoQsLCwAUKlUVVVVEomEEHJ1dVVTU6PVao1GI4DJyUlCiFarBdDd3f0rnr29vdjYWJFIND4+DmBubs4nixPAVv+8B7PZ7Ha7JyYm5HJ5cXHxzMwMjdvt9vz8fAAZGRkATk5OaBBAV1dXdHS0w+EAwOfzdTqdQqGgAh8fHwA2Nja8J8fJo1Ao7u/vV1dXhUIhgKOjI58sTgBb/bOH5eXlnJycqKgoAFlZWRQHICQkJDw8HIC/vz+A5+dnAGlpafR5LC4ulpeXU+Tj46NSqVxZWcnOzq6trQWg0+m81XDytLa2zs/Pp6enj46OApBIJD5ZnAC2Op+irVZrZWUl9fl8/u3tLfUZhjk+Pr69vTWZTADi4+Ppe83Ly+vs7AwKChoaGgJweXkpk8lcLhePx9NoNIGBgfi7cfK0tbUBMBgMh4eHaWlpRUVFPlmcALb65z1cX1/Tc6IFBQcHU1+tVj88PCQmJnZ2dgoEgtLSUgD7+/v0MTw/PzudTgBPT08ulysgIOD9/b2xsdHtdvtUw8lDtfr7+wH09PSAy9gAtvpnD0Kh0LsrDg4OUlJSqB8YGGgymSwWi0gkqqurE4vFADo6Ovz8/La2tgoKCgYGBgAkJCTYbLaLi4vt7W2Xy0Wn4rtx8ng8npaWlpubm8LCQrlczm6AE8BW/+yhoKCAzofT6XQ4HGVlZd+5DAbDy8tLb28v/Tw9PWUYJisrKzc312az0WBcXBy+JjIiIoLzUH14DAbD7u4ugL6+PjohbDwbwKFOd+ja2ppAINBoNFKpNCAgwOFwkC+bnp4GMD4+7o2UlJTk5eVptVqRSCSVSgkhZ2dnZrO5vr4egFQqvbq6okh8bUlOntnZ2e8Va7VanyxOAFv9h/d/yWg0Dg8Pv76+jo6Ofr/ZkZGRu7u74eFhb+T8/FypVNrtdqlUOjU1FRUVtbOzwzCMUChkGEalUtHlA0CpVCYnJ6vVak4eAFar1ePxAAgKCkpKSqLL4HsWG8BW/9nDn2t/AfTMqYfSUdmyAAAAAElFTkSuQmCC">
          <a:extLst>
            <a:ext uri="{FF2B5EF4-FFF2-40B4-BE49-F238E27FC236}">
              <a16:creationId xmlns:a16="http://schemas.microsoft.com/office/drawing/2014/main" id="{92D6E69A-8D1A-4BDD-81E1-72C9440C754E}"/>
            </a:ext>
          </a:extLst>
        </xdr:cNvPr>
        <xdr:cNvSpPr>
          <a:spLocks noChangeAspect="1" noChangeArrowheads="1"/>
        </xdr:cNvSpPr>
      </xdr:nvSpPr>
      <xdr:spPr bwMode="auto">
        <a:xfrm>
          <a:off x="18356580" y="8766048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12</xdr:row>
      <xdr:rowOff>0</xdr:rowOff>
    </xdr:from>
    <xdr:to>
      <xdr:col>14</xdr:col>
      <xdr:colOff>304800</xdr:colOff>
      <xdr:row>12</xdr:row>
      <xdr:rowOff>304800</xdr:rowOff>
    </xdr:to>
    <xdr:sp macro="" textlink="">
      <xdr:nvSpPr>
        <xdr:cNvPr id="3" name="AutoShape 48" descr="data:image/png;base64,iVBORw0KGgoAAAANSUhEUgAAAEEAAAAOCAIAAAD/m+arAAAD+UlEQVRIidVWOUhrWxRdzySORSJxwBEVB3BGA0pUEOKANhElKhcLiXYWShCH2AgO2IgiUUhhoiGFUwKKQ2MKBS0ECTEGpyZYRBRyHHBG4y+O5vlz7/u/+A8+b1f7btZea+9zzt7cH4QQ/OHm938X8Bvs33toamoSi8UVFRXHx8f/Rel38bDtZw/r6+sxMTEKhWJzc9MbNBqN6+vrY2NjoaGhDQ0Nb29vNN7e3i4Wi8vKys7PzwFcX1+3trampqaGh4e3t7d706urq+fn5/+Bx+12Nzc3R0ZGDg4OsrN+BfBRByGEEOJyucLCwmQymV6v5/F4er2exiUSSWZmJiHEYrEAWFpaIoQsLCwAUKlUVVVVEomEEHJ1dVVTU6PVao1GI4DJyUlCiFarBdDd3f0rnr29vdjYWJFIND4+DmBubs4nixPAVv+8B7PZ7Ha7JyYm5HJ5cXHxzMwMjdvt9vz8fAAZGRkATk5OaBBAV1dXdHS0w+EAwOfzdTqdQqGgAh8fHwA2Nja8J8fJo1Ao7u/vV1dXhUIhgKOjI58sTgBb/bOH5eXlnJycqKgoAFlZWRQHICQkJDw8HIC/vz+A5+dnAGlpafR5LC4ulpeXU+Tj46NSqVxZWcnOzq6trQWg0+m81XDytLa2zs/Pp6enj46OApBIJD5ZnAC2Op+irVZrZWUl9fl8/u3tLfUZhjk+Pr69vTWZTADi4+Ppe83Ly+vs7AwKChoaGgJweXkpk8lcLhePx9NoNIGBgfi7cfK0tbUBMBgMh4eHaWlpRUVFPlmcALb65z1cX1/Tc6IFBQcHU1+tVj88PCQmJnZ2dgoEgtLSUgD7+/v0MTw/PzudTgBPT08ulysgIOD9/b2xsdHtdvtUw8lDtfr7+wH09PSAy9gAtvpnD0Kh0LsrDg4OUlJSqB8YGGgymSwWi0gkqqurE4vFADo6Ovz8/La2tgoKCgYGBgAkJCTYbLaLi4vt7W2Xy0Wn4rtx8ng8npaWlpubm8LCQrlczm6AE8BW/+yhoKCAzofT6XQ4HGVlZd+5DAbDy8tLb28v/Tw9PWUYJisrKzc312az0WBcXBy+JjIiIoLzUH14DAbD7u4ugL6+PjohbDwbwKFOd+ja2ppAINBoNFKpNCAgwOFwkC+bnp4GMD4+7o2UlJTk5eVptVqRSCSVSgkhZ2dnZrO5vr4egFQqvbq6okh8bUlOntnZ2e8Va7VanyxOAFv9h/d/yWg0Dg8Pv76+jo6Ofr/ZkZGRu7u74eFhb+T8/FypVNrtdqlUOjU1FRUVtbOzwzCMUChkGEalUtHlA0CpVCYnJ6vVak4eAFar1ePxAAgKCkpKSqLL4HsWG8BW/9nDn2t/AfTMqYfSUdmyAAAAAElFTkSuQmCC">
          <a:extLst>
            <a:ext uri="{FF2B5EF4-FFF2-40B4-BE49-F238E27FC236}">
              <a16:creationId xmlns:a16="http://schemas.microsoft.com/office/drawing/2014/main" id="{86DD4A1A-9B47-41D3-A802-B554C0FB75AC}"/>
            </a:ext>
          </a:extLst>
        </xdr:cNvPr>
        <xdr:cNvSpPr>
          <a:spLocks noChangeAspect="1" noChangeArrowheads="1"/>
        </xdr:cNvSpPr>
      </xdr:nvSpPr>
      <xdr:spPr bwMode="auto">
        <a:xfrm>
          <a:off x="18356580" y="8766048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12</xdr:row>
      <xdr:rowOff>0</xdr:rowOff>
    </xdr:from>
    <xdr:to>
      <xdr:col>14</xdr:col>
      <xdr:colOff>304800</xdr:colOff>
      <xdr:row>12</xdr:row>
      <xdr:rowOff>304800</xdr:rowOff>
    </xdr:to>
    <xdr:sp macro="" textlink="">
      <xdr:nvSpPr>
        <xdr:cNvPr id="4" name="AutoShape 48" descr="data:image/png;base64,iVBORw0KGgoAAAANSUhEUgAAAEEAAAAOCAIAAAD/m+arAAAD+UlEQVRIidVWOUhrWxRdzySORSJxwBEVB3BGA0pUEOKANhElKhcLiXYWShCH2AgO2IgiUUhhoiGFUwKKQ2MKBS0ECTEGpyZYRBRyHHBG4y+O5vlz7/u/+A8+b1f7btZea+9zzt7cH4QQ/OHm938X8Bvs33toamoSi8UVFRXHx8f/Rel38bDtZw/r6+sxMTEKhWJzc9MbNBqN6+vrY2NjoaGhDQ0Nb29vNN7e3i4Wi8vKys7PzwFcX1+3trampqaGh4e3t7d706urq+fn5/+Bx+12Nzc3R0ZGDg4OsrN+BfBRByGEEOJyucLCwmQymV6v5/F4er2exiUSSWZmJiHEYrEAWFpaIoQsLCwAUKlUVVVVEomEEHJ1dVVTU6PVao1GI4DJyUlCiFarBdDd3f0rnr29vdjYWJFIND4+DmBubs4nixPAVv+8B7PZ7Ha7JyYm5HJ5cXHxzMwMjdvt9vz8fAAZGRkATk5OaBBAV1dXdHS0w+EAwOfzdTqdQqGgAh8fHwA2Nja8J8fJo1Ao7u/vV1dXhUIhgKOjI58sTgBb/bOH5eXlnJycqKgoAFlZWRQHICQkJDw8HIC/vz+A5+dnAGlpafR5LC4ulpeXU+Tj46NSqVxZWcnOzq6trQWg0+m81XDytLa2zs/Pp6enj46OApBIJD5ZnAC2Op+irVZrZWUl9fl8/u3tLfUZhjk+Pr69vTWZTADi4+Ppe83Ly+vs7AwKChoaGgJweXkpk8lcLhePx9NoNIGBgfi7cfK0tbUBMBgMh4eHaWlpRUVFPlmcALb65z1cX1/Tc6IFBQcHU1+tVj88PCQmJnZ2dgoEgtLSUgD7+/v0MTw/PzudTgBPT08ulysgIOD9/b2xsdHtdvtUw8lDtfr7+wH09PSAy9gAtvpnD0Kh0LsrDg4OUlJSqB8YGGgymSwWi0gkqqurE4vFADo6Ovz8/La2tgoKCgYGBgAkJCTYbLaLi4vt7W2Xy0Wn4rtx8ng8npaWlpubm8LCQrlczm6AE8BW/+yhoKCAzofT6XQ4HGVlZd+5DAbDy8tLb28v/Tw9PWUYJisrKzc312az0WBcXBy+JjIiIoLzUH14DAbD7u4ugL6+PjohbDwbwKFOd+ja2ppAINBoNFKpNCAgwOFwkC+bnp4GMD4+7o2UlJTk5eVptVqRSCSVSgkhZ2dnZrO5vr4egFQqvbq6okh8bUlOntnZ2e8Va7VanyxOAFv9h/d/yWg0Dg8Pv76+jo6Ofr/ZkZGRu7u74eFhb+T8/FypVNrtdqlUOjU1FRUVtbOzwzCMUChkGEalUtHlA0CpVCYnJ6vVak4eAFar1ePxAAgKCkpKSqLL4HsWG8BW/9nDn2t/AfTMqYfSUdmyAAAAAElFTkSuQmCC">
          <a:extLst>
            <a:ext uri="{FF2B5EF4-FFF2-40B4-BE49-F238E27FC236}">
              <a16:creationId xmlns:a16="http://schemas.microsoft.com/office/drawing/2014/main" id="{6DF0AB98-3067-440D-9F4F-F07D6B0B05ED}"/>
            </a:ext>
          </a:extLst>
        </xdr:cNvPr>
        <xdr:cNvSpPr>
          <a:spLocks noChangeAspect="1" noChangeArrowheads="1"/>
        </xdr:cNvSpPr>
      </xdr:nvSpPr>
      <xdr:spPr bwMode="auto">
        <a:xfrm>
          <a:off x="18356580" y="8766048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12</xdr:row>
      <xdr:rowOff>0</xdr:rowOff>
    </xdr:from>
    <xdr:to>
      <xdr:col>14</xdr:col>
      <xdr:colOff>304800</xdr:colOff>
      <xdr:row>12</xdr:row>
      <xdr:rowOff>304800</xdr:rowOff>
    </xdr:to>
    <xdr:sp macro="" textlink="">
      <xdr:nvSpPr>
        <xdr:cNvPr id="5" name="AutoShape 48" descr="data:image/png;base64,iVBORw0KGgoAAAANSUhEUgAAAEEAAAAOCAIAAAD/m+arAAAD+UlEQVRIidVWOUhrWxRdzySORSJxwBEVB3BGA0pUEOKANhElKhcLiXYWShCH2AgO2IgiUUhhoiGFUwKKQ2MKBS0ECTEGpyZYRBRyHHBG4y+O5vlz7/u/+A8+b1f7btZea+9zzt7cH4QQ/OHm938X8Bvs33toamoSi8UVFRXHx8f/Rel38bDtZw/r6+sxMTEKhWJzc9MbNBqN6+vrY2NjoaGhDQ0Nb29vNN7e3i4Wi8vKys7PzwFcX1+3trampqaGh4e3t7d706urq+fn5/+Bx+12Nzc3R0ZGDg4OsrN+BfBRByGEEOJyucLCwmQymV6v5/F4er2exiUSSWZmJiHEYrEAWFpaIoQsLCwAUKlUVVVVEomEEHJ1dVVTU6PVao1GI4DJyUlCiFarBdDd3f0rnr29vdjYWJFIND4+DmBubs4nixPAVv+8B7PZ7Ha7JyYm5HJ5cXHxzMwMjdvt9vz8fAAZGRkATk5OaBBAV1dXdHS0w+EAwOfzdTqdQqGgAh8fHwA2Nja8J8fJo1Ao7u/vV1dXhUIhgKOjI58sTgBb/bOH5eXlnJycqKgoAFlZWRQHICQkJDw8HIC/vz+A5+dnAGlpafR5LC4ulpeXU+Tj46NSqVxZWcnOzq6trQWg0+m81XDytLa2zs/Pp6enj46OApBIJD5ZnAC2Op+irVZrZWUl9fl8/u3tLfUZhjk+Pr69vTWZTADi4+Ppe83Ly+vs7AwKChoaGgJweXkpk8lcLhePx9NoNIGBgfi7cfK0tbUBMBgMh4eHaWlpRUVFPlmcALb65z1cX1/Tc6IFBQcHU1+tVj88PCQmJnZ2dgoEgtLSUgD7+/v0MTw/PzudTgBPT08ulysgIOD9/b2xsdHtdvtUw8lDtfr7+wH09PSAy9gAtvpnD0Kh0LsrDg4OUlJSqB8YGGgymSwWi0gkqqurE4vFADo6Ovz8/La2tgoKCgYGBgAkJCTYbLaLi4vt7W2Xy0Wn4rtx8ng8npaWlpubm8LCQrlczm6AE8BW/+yhoKCAzofT6XQ4HGVlZd+5DAbDy8tLb28v/Tw9PWUYJisrKzc312az0WBcXBy+JjIiIoLzUH14DAbD7u4ugL6+PjohbDwbwKFOd+ja2ppAINBoNFKpNCAgwOFwkC+bnp4GMD4+7o2UlJTk5eVptVqRSCSVSgkhZ2dnZrO5vr4egFQqvbq6okh8bUlOntnZ2e8Va7VanyxOAFv9h/d/yWg0Dg8Pv76+jo6Ofr/ZkZGRu7u74eFhb+T8/FypVNrtdqlUOjU1FRUVtbOzwzCMUChkGEalUtHlA0CpVCYnJ6vVak4eAFar1ePxAAgKCkpKSqLL4HsWG8BW/9nDn2t/AfTMqYfSUdmyAAAAAElFTkSuQmCC">
          <a:extLst>
            <a:ext uri="{FF2B5EF4-FFF2-40B4-BE49-F238E27FC236}">
              <a16:creationId xmlns:a16="http://schemas.microsoft.com/office/drawing/2014/main" id="{EE902C75-3B63-485B-9E41-04B696FBACD2}"/>
            </a:ext>
          </a:extLst>
        </xdr:cNvPr>
        <xdr:cNvSpPr>
          <a:spLocks noChangeAspect="1" noChangeArrowheads="1"/>
        </xdr:cNvSpPr>
      </xdr:nvSpPr>
      <xdr:spPr bwMode="auto">
        <a:xfrm>
          <a:off x="18356580" y="8766048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259080</xdr:rowOff>
    </xdr:from>
    <xdr:to>
      <xdr:col>7</xdr:col>
      <xdr:colOff>53340</xdr:colOff>
      <xdr:row>9</xdr:row>
      <xdr:rowOff>0</xdr:rowOff>
    </xdr:to>
    <xdr:sp macro="" textlink="">
      <xdr:nvSpPr>
        <xdr:cNvPr id="2" name="Rounded Rectangle 4">
          <a:extLst>
            <a:ext uri="{FF2B5EF4-FFF2-40B4-BE49-F238E27FC236}">
              <a16:creationId xmlns:a16="http://schemas.microsoft.com/office/drawing/2014/main" id="{19B3CFAE-1475-486D-B5B2-5CEAA497274C}"/>
            </a:ext>
          </a:extLst>
        </xdr:cNvPr>
        <xdr:cNvSpPr/>
      </xdr:nvSpPr>
      <xdr:spPr>
        <a:xfrm>
          <a:off x="0" y="1394460"/>
          <a:ext cx="4975860" cy="1325880"/>
        </a:xfrm>
        <a:prstGeom prst="roundRect">
          <a:avLst/>
        </a:prstGeom>
        <a:noFill/>
        <a:ln>
          <a:solidFill>
            <a:srgbClr val="0B964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7</xdr:col>
      <xdr:colOff>121920</xdr:colOff>
      <xdr:row>4</xdr:row>
      <xdr:rowOff>259079</xdr:rowOff>
    </xdr:from>
    <xdr:to>
      <xdr:col>10</xdr:col>
      <xdr:colOff>0</xdr:colOff>
      <xdr:row>9</xdr:row>
      <xdr:rowOff>8848</xdr:rowOff>
    </xdr:to>
    <xdr:sp macro="" textlink="">
      <xdr:nvSpPr>
        <xdr:cNvPr id="3" name="Rounded Rectangle 5">
          <a:extLst>
            <a:ext uri="{FF2B5EF4-FFF2-40B4-BE49-F238E27FC236}">
              <a16:creationId xmlns:a16="http://schemas.microsoft.com/office/drawing/2014/main" id="{2D8B79DA-262C-4934-A3E3-7CF003637E69}"/>
            </a:ext>
          </a:extLst>
        </xdr:cNvPr>
        <xdr:cNvSpPr/>
      </xdr:nvSpPr>
      <xdr:spPr>
        <a:xfrm>
          <a:off x="5044440" y="1394459"/>
          <a:ext cx="2026920" cy="1334729"/>
        </a:xfrm>
        <a:prstGeom prst="roundRect">
          <a:avLst/>
        </a:prstGeom>
        <a:noFill/>
        <a:ln>
          <a:solidFill>
            <a:srgbClr val="0B964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0</xdr:col>
      <xdr:colOff>99060</xdr:colOff>
      <xdr:row>0</xdr:row>
      <xdr:rowOff>53340</xdr:rowOff>
    </xdr:from>
    <xdr:to>
      <xdr:col>1</xdr:col>
      <xdr:colOff>495300</xdr:colOff>
      <xdr:row>2</xdr:row>
      <xdr:rowOff>236220</xdr:rowOff>
    </xdr:to>
    <xdr:pic>
      <xdr:nvPicPr>
        <xdr:cNvPr id="4" name="Picture 3">
          <a:extLst>
            <a:ext uri="{FF2B5EF4-FFF2-40B4-BE49-F238E27FC236}">
              <a16:creationId xmlns:a16="http://schemas.microsoft.com/office/drawing/2014/main" id="{9A811EE9-31C0-4B8F-9AAA-0FC3A91DC65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826" t="17948" r="15937" b="20512"/>
        <a:stretch/>
      </xdr:blipFill>
      <xdr:spPr bwMode="auto">
        <a:xfrm>
          <a:off x="99060" y="53340"/>
          <a:ext cx="739140" cy="746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106680</xdr:colOff>
      <xdr:row>0</xdr:row>
      <xdr:rowOff>53340</xdr:rowOff>
    </xdr:from>
    <xdr:to>
      <xdr:col>1</xdr:col>
      <xdr:colOff>533400</xdr:colOff>
      <xdr:row>2</xdr:row>
      <xdr:rowOff>236220</xdr:rowOff>
    </xdr:to>
    <xdr:pic>
      <xdr:nvPicPr>
        <xdr:cNvPr id="2" name="Picture 1">
          <a:extLst>
            <a:ext uri="{FF2B5EF4-FFF2-40B4-BE49-F238E27FC236}">
              <a16:creationId xmlns:a16="http://schemas.microsoft.com/office/drawing/2014/main" id="{99D19085-83D7-4255-8014-0A4E7E53B49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826" t="17948" r="15937" b="20512"/>
        <a:stretch/>
      </xdr:blipFill>
      <xdr:spPr bwMode="auto">
        <a:xfrm>
          <a:off x="106680" y="53340"/>
          <a:ext cx="739140" cy="746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83820</xdr:colOff>
      <xdr:row>0</xdr:row>
      <xdr:rowOff>60960</xdr:rowOff>
    </xdr:from>
    <xdr:to>
      <xdr:col>1</xdr:col>
      <xdr:colOff>434340</xdr:colOff>
      <xdr:row>2</xdr:row>
      <xdr:rowOff>243840</xdr:rowOff>
    </xdr:to>
    <xdr:pic>
      <xdr:nvPicPr>
        <xdr:cNvPr id="2" name="Picture 1">
          <a:extLst>
            <a:ext uri="{FF2B5EF4-FFF2-40B4-BE49-F238E27FC236}">
              <a16:creationId xmlns:a16="http://schemas.microsoft.com/office/drawing/2014/main" id="{592FFE2D-8AA0-4D6F-8424-422845A3A1C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826" t="17948" r="15937" b="20512"/>
        <a:stretch/>
      </xdr:blipFill>
      <xdr:spPr bwMode="auto">
        <a:xfrm>
          <a:off x="83820" y="60960"/>
          <a:ext cx="739140" cy="746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sypanelvina.vn/"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panelphuson.vn/" TargetMode="External"/><Relationship Id="rId1" Type="http://schemas.openxmlformats.org/officeDocument/2006/relationships/hyperlink" Target="https://javta.v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javta.vn/" TargetMode="External"/><Relationship Id="rId1" Type="http://schemas.openxmlformats.org/officeDocument/2006/relationships/hyperlink" Target="https://panelphuson.vn/"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F6125-DCCB-4324-8A5D-C21150C87FED}">
  <dimension ref="A1:Z18"/>
  <sheetViews>
    <sheetView zoomScale="77" zoomScaleNormal="77" workbookViewId="0">
      <pane xSplit="4" ySplit="3" topLeftCell="E4" activePane="bottomRight" state="frozen"/>
      <selection activeCell="F367" sqref="F367"/>
      <selection pane="topRight" activeCell="F367" sqref="F367"/>
      <selection pane="bottomLeft" activeCell="F367" sqref="F367"/>
      <selection pane="bottomRight" activeCell="D10" sqref="D10"/>
    </sheetView>
  </sheetViews>
  <sheetFormatPr defaultColWidth="11.109375" defaultRowHeight="27.75" customHeight="1" x14ac:dyDescent="0.25"/>
  <cols>
    <col min="1" max="1" width="12.33203125" style="19" bestFit="1" customWidth="1"/>
    <col min="2" max="2" width="6" style="19" bestFit="1" customWidth="1"/>
    <col min="3" max="3" width="6.88671875" style="57" customWidth="1"/>
    <col min="4" max="4" width="84" style="3" customWidth="1"/>
    <col min="5" max="5" width="20.33203125" style="19" customWidth="1"/>
    <col min="6" max="6" width="14.6640625" style="19" customWidth="1"/>
    <col min="7" max="7" width="17.44140625" style="19" customWidth="1"/>
    <col min="8" max="8" width="18.109375" style="19" customWidth="1"/>
    <col min="9" max="9" width="14.109375" style="19" customWidth="1"/>
    <col min="10" max="10" width="55.44140625" style="19" customWidth="1"/>
    <col min="11" max="11" width="7.5546875" style="19" hidden="1" customWidth="1"/>
    <col min="12" max="12" width="10.6640625" style="19" hidden="1" customWidth="1"/>
    <col min="13" max="13" width="0" style="19" hidden="1" customWidth="1"/>
    <col min="14" max="14" width="18.33203125" style="19" customWidth="1"/>
    <col min="15" max="15" width="15.88671875" style="19" customWidth="1"/>
    <col min="16" max="16" width="21" style="19" customWidth="1"/>
    <col min="17" max="17" width="15.6640625" style="19" customWidth="1"/>
    <col min="18" max="18" width="23.6640625" style="19" customWidth="1"/>
    <col min="19" max="19" width="54.88671875" style="19" customWidth="1"/>
    <col min="20" max="21" width="7.109375" style="19" customWidth="1"/>
    <col min="22" max="26" width="6.6640625" style="19" customWidth="1"/>
    <col min="27" max="16384" width="11.109375" style="19"/>
  </cols>
  <sheetData>
    <row r="1" spans="1:26" s="6" customFormat="1" ht="27.75" customHeight="1" x14ac:dyDescent="0.25">
      <c r="A1" s="1"/>
      <c r="B1" s="1">
        <v>1</v>
      </c>
      <c r="C1" s="2" t="s">
        <v>0</v>
      </c>
      <c r="D1" s="3" t="s">
        <v>1</v>
      </c>
      <c r="E1" s="4" t="s">
        <v>2</v>
      </c>
      <c r="F1" s="4" t="s">
        <v>3</v>
      </c>
      <c r="G1" s="4" t="s">
        <v>4</v>
      </c>
      <c r="H1" s="4" t="s">
        <v>5</v>
      </c>
      <c r="I1" s="5" t="s">
        <v>6</v>
      </c>
      <c r="J1" s="4" t="s">
        <v>7</v>
      </c>
      <c r="K1" s="4" t="s">
        <v>8</v>
      </c>
      <c r="L1" s="4" t="s">
        <v>9</v>
      </c>
      <c r="M1" s="4" t="s">
        <v>0</v>
      </c>
      <c r="N1" s="4" t="s">
        <v>10</v>
      </c>
      <c r="O1" s="4" t="s">
        <v>11</v>
      </c>
      <c r="P1" s="4" t="s">
        <v>12</v>
      </c>
      <c r="Q1" s="4" t="s">
        <v>13</v>
      </c>
      <c r="R1" s="4" t="s">
        <v>14</v>
      </c>
      <c r="S1" s="4" t="s">
        <v>15</v>
      </c>
      <c r="T1" s="4" t="s">
        <v>16</v>
      </c>
      <c r="U1" s="4" t="s">
        <v>17</v>
      </c>
      <c r="V1" s="1"/>
      <c r="W1" s="1"/>
      <c r="X1" s="1"/>
      <c r="Y1" s="1"/>
      <c r="Z1" s="1"/>
    </row>
    <row r="2" spans="1:26" ht="27.75" customHeight="1" x14ac:dyDescent="0.25">
      <c r="A2" s="7" t="s">
        <v>18</v>
      </c>
      <c r="B2" s="8" t="s">
        <v>19</v>
      </c>
      <c r="C2" s="9" t="s">
        <v>20</v>
      </c>
      <c r="D2" s="10" t="s">
        <v>21</v>
      </c>
      <c r="E2" s="11" t="s">
        <v>22</v>
      </c>
      <c r="F2" s="12" t="s">
        <v>23</v>
      </c>
      <c r="G2" s="10" t="s">
        <v>24</v>
      </c>
      <c r="H2" s="13" t="s">
        <v>25</v>
      </c>
      <c r="I2" s="7" t="s">
        <v>26</v>
      </c>
      <c r="J2" s="14" t="s">
        <v>27</v>
      </c>
      <c r="K2" s="15"/>
      <c r="L2" s="15"/>
      <c r="M2" s="16"/>
      <c r="N2" s="13" t="s">
        <v>28</v>
      </c>
      <c r="O2" s="13" t="s">
        <v>29</v>
      </c>
      <c r="P2" s="10" t="s">
        <v>30</v>
      </c>
      <c r="Q2" s="10" t="s">
        <v>31</v>
      </c>
      <c r="R2" s="13" t="s">
        <v>32</v>
      </c>
      <c r="S2" s="10" t="s">
        <v>33</v>
      </c>
      <c r="T2" s="17"/>
      <c r="U2" s="17"/>
      <c r="V2" s="18"/>
      <c r="W2" s="18"/>
      <c r="X2" s="18"/>
      <c r="Y2" s="18"/>
      <c r="Z2" s="18"/>
    </row>
    <row r="3" spans="1:26" ht="27.75" customHeight="1" x14ac:dyDescent="0.25">
      <c r="A3" s="20"/>
      <c r="B3" s="20"/>
      <c r="C3" s="21"/>
      <c r="D3" s="22"/>
      <c r="E3" s="20"/>
      <c r="F3" s="20"/>
      <c r="G3" s="22"/>
      <c r="H3" s="20"/>
      <c r="I3" s="20"/>
      <c r="J3" s="23" t="s">
        <v>34</v>
      </c>
      <c r="K3" s="24" t="s">
        <v>35</v>
      </c>
      <c r="L3" s="24" t="s">
        <v>36</v>
      </c>
      <c r="M3" s="25" t="s">
        <v>37</v>
      </c>
      <c r="N3" s="20"/>
      <c r="O3" s="20"/>
      <c r="P3" s="20"/>
      <c r="Q3" s="20"/>
      <c r="R3" s="20"/>
      <c r="S3" s="20"/>
      <c r="T3" s="26"/>
      <c r="U3" s="26"/>
      <c r="V3" s="18"/>
      <c r="W3" s="18"/>
      <c r="X3" s="18"/>
      <c r="Y3" s="18"/>
      <c r="Z3" s="18"/>
    </row>
    <row r="4" spans="1:26" ht="27.75" customHeight="1" x14ac:dyDescent="0.25">
      <c r="A4" s="27" t="s">
        <v>38</v>
      </c>
      <c r="B4" s="28">
        <v>100</v>
      </c>
      <c r="C4" s="29"/>
      <c r="D4" s="3" t="s">
        <v>39</v>
      </c>
      <c r="E4" s="23"/>
      <c r="F4" s="30"/>
      <c r="G4" s="27" t="s">
        <v>40</v>
      </c>
      <c r="H4" s="31" t="s">
        <v>41</v>
      </c>
      <c r="I4" s="24"/>
      <c r="J4" s="23"/>
      <c r="K4" s="24"/>
      <c r="L4" s="24"/>
      <c r="M4" s="25"/>
      <c r="N4" s="31"/>
      <c r="O4" s="31"/>
      <c r="P4" s="27"/>
      <c r="Q4" s="32"/>
      <c r="R4" s="33"/>
      <c r="S4" s="32"/>
      <c r="T4" s="26"/>
      <c r="U4" s="26"/>
      <c r="V4" s="18"/>
      <c r="W4" s="18"/>
      <c r="X4" s="18"/>
      <c r="Y4" s="18"/>
      <c r="Z4" s="18"/>
    </row>
    <row r="5" spans="1:26" ht="27.75" customHeight="1" x14ac:dyDescent="0.25">
      <c r="A5" s="27" t="s">
        <v>38</v>
      </c>
      <c r="B5" s="28"/>
      <c r="C5" s="29" t="s">
        <v>42</v>
      </c>
      <c r="E5" s="23"/>
      <c r="F5" s="30"/>
      <c r="G5" s="27"/>
      <c r="H5" s="31"/>
      <c r="I5" s="24"/>
      <c r="J5" s="23"/>
      <c r="K5" s="24"/>
      <c r="L5" s="24"/>
      <c r="M5" s="25"/>
      <c r="N5" s="31"/>
      <c r="O5" s="31"/>
      <c r="P5" s="27"/>
      <c r="Q5" s="32"/>
      <c r="R5" s="33"/>
      <c r="S5" s="32"/>
      <c r="T5" s="26"/>
      <c r="U5" s="26"/>
      <c r="V5" s="18"/>
      <c r="W5" s="18"/>
      <c r="X5" s="18"/>
      <c r="Y5" s="18"/>
      <c r="Z5" s="18"/>
    </row>
    <row r="6" spans="1:26" ht="27.75" customHeight="1" x14ac:dyDescent="0.25">
      <c r="A6" s="27" t="s">
        <v>38</v>
      </c>
      <c r="B6" s="28">
        <v>101</v>
      </c>
      <c r="C6" s="2" t="s">
        <v>43</v>
      </c>
      <c r="D6" s="3" t="s">
        <v>44</v>
      </c>
      <c r="E6" s="23"/>
      <c r="F6" s="30"/>
      <c r="G6" s="27" t="s">
        <v>38</v>
      </c>
      <c r="H6" s="31" t="s">
        <v>45</v>
      </c>
      <c r="I6" s="24"/>
      <c r="J6" s="23" t="s">
        <v>46</v>
      </c>
      <c r="K6" s="24"/>
      <c r="L6" s="24"/>
      <c r="M6" s="25"/>
      <c r="N6" s="31"/>
      <c r="O6" s="31"/>
      <c r="P6" s="27"/>
      <c r="Q6" s="32"/>
      <c r="R6" s="33"/>
      <c r="S6" s="32"/>
      <c r="T6" s="26"/>
      <c r="U6" s="26"/>
      <c r="V6" s="18"/>
      <c r="W6" s="18"/>
      <c r="X6" s="18"/>
      <c r="Y6" s="18"/>
      <c r="Z6" s="18"/>
    </row>
    <row r="7" spans="1:26" ht="27.75" customHeight="1" x14ac:dyDescent="0.25">
      <c r="A7" s="27" t="s">
        <v>38</v>
      </c>
      <c r="B7" s="34">
        <v>1</v>
      </c>
      <c r="C7" s="35"/>
      <c r="D7" s="3" t="s">
        <v>47</v>
      </c>
      <c r="E7" s="36" t="s">
        <v>48</v>
      </c>
      <c r="F7" s="37" t="s">
        <v>49</v>
      </c>
      <c r="G7" s="38" t="s">
        <v>50</v>
      </c>
      <c r="H7" s="39" t="s">
        <v>51</v>
      </c>
      <c r="I7" s="36"/>
      <c r="J7" s="36" t="s">
        <v>52</v>
      </c>
      <c r="K7" s="40" t="s">
        <v>53</v>
      </c>
      <c r="L7" s="40" t="s">
        <v>54</v>
      </c>
      <c r="M7" s="41" t="s">
        <v>55</v>
      </c>
      <c r="N7" s="39" t="s">
        <v>56</v>
      </c>
      <c r="O7" s="39" t="s">
        <v>57</v>
      </c>
      <c r="P7" s="42" t="s">
        <v>58</v>
      </c>
      <c r="Q7" s="43" t="s">
        <v>59</v>
      </c>
      <c r="R7" s="44" t="s">
        <v>60</v>
      </c>
      <c r="S7" s="43" t="s">
        <v>61</v>
      </c>
      <c r="T7" s="43"/>
      <c r="U7" s="43"/>
      <c r="V7" s="45"/>
      <c r="W7" s="45"/>
      <c r="X7" s="45"/>
      <c r="Y7" s="45"/>
      <c r="Z7" s="45"/>
    </row>
    <row r="8" spans="1:26" ht="27.75" customHeight="1" x14ac:dyDescent="0.25">
      <c r="A8" s="27"/>
      <c r="B8" s="34"/>
      <c r="C8" s="46" t="s">
        <v>62</v>
      </c>
      <c r="E8" s="36"/>
      <c r="F8" s="37"/>
      <c r="G8" s="38" t="s">
        <v>63</v>
      </c>
      <c r="H8" s="39"/>
      <c r="I8" s="36"/>
      <c r="J8" s="36"/>
      <c r="K8" s="40"/>
      <c r="L8" s="40"/>
      <c r="M8" s="41"/>
      <c r="N8" s="39"/>
      <c r="O8" s="39"/>
      <c r="P8" s="47"/>
      <c r="Q8" s="43"/>
      <c r="R8" s="44"/>
      <c r="S8" s="43"/>
      <c r="T8" s="43"/>
      <c r="U8" s="43"/>
      <c r="V8" s="45"/>
      <c r="W8" s="45"/>
      <c r="X8" s="45"/>
      <c r="Y8" s="45"/>
      <c r="Z8" s="45"/>
    </row>
    <row r="9" spans="1:26" ht="27.75" customHeight="1" x14ac:dyDescent="0.25">
      <c r="A9" s="27"/>
      <c r="B9" s="34"/>
      <c r="C9" s="46" t="s">
        <v>64</v>
      </c>
      <c r="E9" s="36"/>
      <c r="F9" s="37"/>
      <c r="G9" s="38" t="s">
        <v>65</v>
      </c>
      <c r="H9" s="39" t="s">
        <v>66</v>
      </c>
      <c r="I9" s="36"/>
      <c r="J9" s="36"/>
      <c r="K9" s="40"/>
      <c r="L9" s="40"/>
      <c r="M9" s="41"/>
      <c r="N9" s="39"/>
      <c r="O9" s="39"/>
      <c r="P9" s="48"/>
      <c r="Q9" s="43"/>
      <c r="R9" s="44"/>
      <c r="S9" s="43"/>
      <c r="T9" s="43"/>
      <c r="U9" s="43"/>
      <c r="V9" s="45"/>
      <c r="W9" s="45"/>
      <c r="X9" s="45"/>
      <c r="Y9" s="45"/>
      <c r="Z9" s="45"/>
    </row>
    <row r="10" spans="1:26" ht="27.75" customHeight="1" x14ac:dyDescent="0.25">
      <c r="A10" s="27"/>
      <c r="B10" s="34"/>
      <c r="C10" s="46" t="s">
        <v>67</v>
      </c>
      <c r="E10" s="36"/>
      <c r="F10" s="37"/>
      <c r="G10" s="38" t="s">
        <v>68</v>
      </c>
      <c r="H10" s="39" t="s">
        <v>69</v>
      </c>
      <c r="I10" s="36"/>
      <c r="J10" s="36"/>
      <c r="K10" s="40"/>
      <c r="L10" s="40"/>
      <c r="M10" s="41"/>
      <c r="N10" s="39"/>
      <c r="O10" s="39"/>
      <c r="P10" s="48"/>
      <c r="Q10" s="43"/>
      <c r="R10" s="44"/>
      <c r="S10" s="43"/>
      <c r="T10" s="43"/>
      <c r="U10" s="43"/>
      <c r="V10" s="45"/>
      <c r="W10" s="45"/>
      <c r="X10" s="45"/>
      <c r="Y10" s="45"/>
      <c r="Z10" s="45"/>
    </row>
    <row r="11" spans="1:26" ht="27.75" customHeight="1" x14ac:dyDescent="0.25">
      <c r="A11" s="27"/>
      <c r="B11" s="34"/>
      <c r="C11" s="46" t="s">
        <v>70</v>
      </c>
      <c r="E11" s="36"/>
      <c r="F11" s="37"/>
      <c r="G11" s="38" t="s">
        <v>71</v>
      </c>
      <c r="H11" s="39" t="s">
        <v>72</v>
      </c>
      <c r="I11" s="36"/>
      <c r="J11" s="36"/>
      <c r="K11" s="40"/>
      <c r="L11" s="40"/>
      <c r="M11" s="41"/>
      <c r="N11" s="39"/>
      <c r="O11" s="39"/>
      <c r="P11" s="48"/>
      <c r="Q11" s="43"/>
      <c r="R11" s="44"/>
      <c r="S11" s="43"/>
      <c r="T11" s="43"/>
      <c r="U11" s="43"/>
      <c r="V11" s="45"/>
      <c r="W11" s="45"/>
      <c r="X11" s="45"/>
      <c r="Y11" s="45"/>
      <c r="Z11" s="45"/>
    </row>
    <row r="12" spans="1:26" ht="27.75" customHeight="1" x14ac:dyDescent="0.25">
      <c r="A12" s="27"/>
      <c r="B12" s="34"/>
      <c r="C12" s="46" t="s">
        <v>73</v>
      </c>
      <c r="E12" s="36"/>
      <c r="F12" s="37"/>
      <c r="G12" s="38"/>
      <c r="H12" s="39"/>
      <c r="I12" s="36"/>
      <c r="J12" s="36"/>
      <c r="K12" s="40"/>
      <c r="L12" s="40"/>
      <c r="M12" s="41"/>
      <c r="N12" s="39"/>
      <c r="O12" s="39"/>
      <c r="P12" s="48"/>
      <c r="Q12" s="43"/>
      <c r="R12" s="44"/>
      <c r="S12" s="43"/>
      <c r="T12" s="43"/>
      <c r="U12" s="43"/>
      <c r="V12" s="45"/>
      <c r="W12" s="45"/>
      <c r="X12" s="45"/>
      <c r="Y12" s="45"/>
      <c r="Z12" s="45"/>
    </row>
    <row r="13" spans="1:26" ht="27.75" customHeight="1" x14ac:dyDescent="0.25">
      <c r="A13" s="51"/>
      <c r="B13" s="52"/>
      <c r="C13" s="53"/>
      <c r="E13" s="49"/>
      <c r="F13" s="54"/>
      <c r="G13" s="45"/>
      <c r="H13" s="55"/>
      <c r="I13" s="49"/>
      <c r="J13" s="49"/>
      <c r="K13" s="45"/>
      <c r="L13" s="45"/>
      <c r="M13" s="45"/>
      <c r="N13" s="55"/>
      <c r="O13" s="55"/>
      <c r="P13" s="56"/>
      <c r="Q13" s="45"/>
      <c r="R13" s="55"/>
      <c r="S13" s="45"/>
      <c r="T13" s="45"/>
      <c r="U13" s="45"/>
      <c r="V13" s="45"/>
      <c r="W13" s="45"/>
      <c r="X13" s="45"/>
      <c r="Y13" s="45"/>
      <c r="Z13" s="45"/>
    </row>
    <row r="14" spans="1:26" ht="27.75" customHeight="1" x14ac:dyDescent="0.25">
      <c r="A14" s="51"/>
      <c r="B14" s="52"/>
      <c r="C14" s="53"/>
      <c r="E14" s="49"/>
      <c r="F14" s="54"/>
      <c r="G14" s="45"/>
      <c r="H14" s="55"/>
      <c r="I14" s="49"/>
      <c r="J14" s="49"/>
      <c r="K14" s="45"/>
      <c r="L14" s="45"/>
      <c r="M14" s="45"/>
      <c r="N14" s="55"/>
      <c r="O14" s="55"/>
      <c r="P14" s="56"/>
      <c r="Q14" s="45"/>
      <c r="R14" s="55"/>
      <c r="S14" s="45"/>
      <c r="T14" s="45"/>
      <c r="U14" s="45"/>
      <c r="V14" s="45"/>
      <c r="W14" s="45"/>
      <c r="X14" s="45"/>
      <c r="Y14" s="45"/>
      <c r="Z14" s="45"/>
    </row>
    <row r="15" spans="1:26" ht="27.75" customHeight="1" x14ac:dyDescent="0.25">
      <c r="A15" s="51"/>
      <c r="B15" s="52"/>
      <c r="C15" s="53"/>
      <c r="E15" s="49"/>
      <c r="F15" s="54"/>
      <c r="G15" s="45"/>
      <c r="H15" s="55"/>
      <c r="I15" s="49"/>
      <c r="J15" s="49"/>
      <c r="K15" s="45"/>
      <c r="L15" s="45"/>
      <c r="M15" s="45"/>
      <c r="N15" s="55"/>
      <c r="O15" s="55"/>
      <c r="P15" s="56"/>
      <c r="Q15" s="45"/>
      <c r="R15" s="55"/>
      <c r="S15" s="45"/>
      <c r="T15" s="45"/>
      <c r="U15" s="45"/>
      <c r="V15" s="45"/>
      <c r="W15" s="45"/>
      <c r="X15" s="45"/>
      <c r="Y15" s="45"/>
      <c r="Z15" s="45"/>
    </row>
    <row r="16" spans="1:26" ht="27.75" customHeight="1" x14ac:dyDescent="0.25">
      <c r="A16" s="51"/>
      <c r="B16" s="52"/>
      <c r="C16" s="53"/>
      <c r="E16" s="49"/>
      <c r="F16" s="54"/>
      <c r="G16" s="45"/>
      <c r="H16" s="55"/>
      <c r="I16" s="49"/>
      <c r="J16" s="49"/>
      <c r="K16" s="45"/>
      <c r="L16" s="45"/>
      <c r="M16" s="45"/>
      <c r="N16" s="55"/>
      <c r="O16" s="55"/>
      <c r="P16" s="56"/>
      <c r="Q16" s="45"/>
      <c r="R16" s="55"/>
      <c r="S16" s="45"/>
      <c r="T16" s="45"/>
      <c r="U16" s="45"/>
      <c r="V16" s="45"/>
      <c r="W16" s="45"/>
      <c r="X16" s="45"/>
      <c r="Y16" s="45"/>
      <c r="Z16" s="45"/>
    </row>
    <row r="17" spans="1:26" ht="27.75" customHeight="1" x14ac:dyDescent="0.25">
      <c r="A17" s="51"/>
      <c r="B17" s="52"/>
      <c r="C17" s="53"/>
      <c r="E17" s="49"/>
      <c r="F17" s="54"/>
      <c r="G17" s="45"/>
      <c r="H17" s="55"/>
      <c r="I17" s="49"/>
      <c r="J17" s="49"/>
      <c r="K17" s="45"/>
      <c r="L17" s="45"/>
      <c r="M17" s="45"/>
      <c r="N17" s="55"/>
      <c r="O17" s="55"/>
      <c r="P17" s="56"/>
      <c r="Q17" s="45"/>
      <c r="R17" s="55"/>
      <c r="S17" s="45"/>
      <c r="T17" s="45"/>
      <c r="U17" s="45"/>
      <c r="V17" s="45"/>
      <c r="W17" s="45"/>
      <c r="X17" s="45"/>
      <c r="Y17" s="45"/>
      <c r="Z17" s="45"/>
    </row>
    <row r="18" spans="1:26" ht="27.75" customHeight="1" x14ac:dyDescent="0.25">
      <c r="A18" s="51"/>
      <c r="B18" s="52"/>
      <c r="C18" s="53"/>
      <c r="E18" s="49"/>
      <c r="F18" s="54"/>
      <c r="G18" s="45"/>
      <c r="H18" s="55"/>
      <c r="I18" s="49"/>
      <c r="J18" s="49"/>
      <c r="K18" s="45"/>
      <c r="L18" s="45"/>
      <c r="M18" s="45"/>
      <c r="N18" s="55"/>
      <c r="O18" s="55"/>
      <c r="P18" s="56"/>
      <c r="Q18" s="45"/>
      <c r="R18" s="55"/>
      <c r="S18" s="45"/>
      <c r="T18" s="45"/>
      <c r="U18" s="45"/>
      <c r="V18" s="45"/>
      <c r="W18" s="45"/>
      <c r="X18" s="45"/>
      <c r="Y18" s="45"/>
      <c r="Z18" s="45"/>
    </row>
  </sheetData>
  <mergeCells count="16">
    <mergeCell ref="P2:P3"/>
    <mergeCell ref="Q2:Q3"/>
    <mergeCell ref="R2:R3"/>
    <mergeCell ref="S2:S3"/>
    <mergeCell ref="G2:G3"/>
    <mergeCell ref="H2:H3"/>
    <mergeCell ref="I2:I3"/>
    <mergeCell ref="J2:M2"/>
    <mergeCell ref="N2:N3"/>
    <mergeCell ref="O2:O3"/>
    <mergeCell ref="A2:A3"/>
    <mergeCell ref="B2:B3"/>
    <mergeCell ref="C2:C3"/>
    <mergeCell ref="D2:D3"/>
    <mergeCell ref="E2:E3"/>
    <mergeCell ref="F2:F3"/>
  </mergeCells>
  <hyperlinks>
    <hyperlink ref="P7" r:id="rId1" xr:uid="{6A9428C4-862B-489E-B2CA-6EB7BD1EA426}"/>
  </hyperlinks>
  <pageMargins left="0.7" right="0.7" top="0.75" bottom="0.75" header="0" footer="0"/>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572C0-E579-4B53-A172-DD6730B77A6D}">
  <sheetPr>
    <tabColor theme="9" tint="-0.249977111117893"/>
  </sheetPr>
  <dimension ref="A1:AJ76"/>
  <sheetViews>
    <sheetView zoomScaleNormal="100" workbookViewId="0">
      <selection activeCell="M3" sqref="M3"/>
    </sheetView>
  </sheetViews>
  <sheetFormatPr defaultColWidth="8.88671875" defaultRowHeight="22.2" customHeight="1" x14ac:dyDescent="0.25"/>
  <cols>
    <col min="1" max="1" width="5" style="58" customWidth="1"/>
    <col min="2" max="2" width="8.5546875" style="58" customWidth="1"/>
    <col min="3" max="3" width="34.6640625" style="58" customWidth="1"/>
    <col min="4" max="4" width="5.33203125" style="58" customWidth="1"/>
    <col min="5" max="5" width="6.33203125" style="60" customWidth="1"/>
    <col min="6" max="6" width="6.33203125" style="61" customWidth="1"/>
    <col min="7" max="7" width="5.5546875" style="58" customWidth="1"/>
    <col min="8" max="8" width="9.5546875" style="62" customWidth="1"/>
    <col min="9" max="9" width="9.33203125" style="63" customWidth="1"/>
    <col min="10" max="10" width="12.44140625" style="63" customWidth="1"/>
    <col min="11" max="11" width="14.6640625" style="63" customWidth="1"/>
    <col min="12" max="12" width="17" style="58" customWidth="1"/>
    <col min="13" max="13" width="12.5546875" style="58" customWidth="1"/>
    <col min="14" max="14" width="10.6640625" style="58" customWidth="1"/>
    <col min="15" max="15" width="14.33203125" style="58" bestFit="1" customWidth="1"/>
    <col min="16" max="16" width="8.6640625" style="58" bestFit="1" customWidth="1"/>
    <col min="17" max="22" width="10.6640625" style="58" customWidth="1"/>
    <col min="23" max="23" width="11.33203125" style="58" customWidth="1"/>
    <col min="24" max="24" width="7.33203125" style="58" customWidth="1"/>
    <col min="25" max="36" width="6.6640625" style="58" customWidth="1"/>
    <col min="37" max="58" width="10.6640625" style="58" customWidth="1"/>
    <col min="59" max="16384" width="8.88671875" style="58"/>
  </cols>
  <sheetData>
    <row r="1" spans="1:36" ht="22.2" customHeight="1" x14ac:dyDescent="0.2">
      <c r="C1" s="59" t="s">
        <v>74</v>
      </c>
      <c r="J1" s="64" t="str">
        <f>$M$1&amp;"."&amp;$M$2</f>
        <v>1.2</v>
      </c>
      <c r="K1" s="65"/>
      <c r="L1" s="66" t="s">
        <v>75</v>
      </c>
      <c r="M1" s="67">
        <v>1</v>
      </c>
      <c r="O1" s="68"/>
      <c r="P1" s="68"/>
      <c r="W1" s="69">
        <f>$J$61</f>
        <v>2045070</v>
      </c>
      <c r="X1" s="70" t="str">
        <f>RIGHT("000000000000"&amp;ROUND(W1,0),12)</f>
        <v>000002045070</v>
      </c>
      <c r="Y1" s="70">
        <v>1</v>
      </c>
      <c r="Z1" s="70">
        <v>2</v>
      </c>
      <c r="AA1" s="70">
        <v>3</v>
      </c>
      <c r="AB1" s="70">
        <v>4</v>
      </c>
      <c r="AC1" s="70">
        <v>5</v>
      </c>
      <c r="AD1" s="70">
        <v>6</v>
      </c>
      <c r="AE1" s="70">
        <v>7</v>
      </c>
      <c r="AF1" s="70">
        <v>8</v>
      </c>
      <c r="AG1" s="70">
        <v>9</v>
      </c>
      <c r="AH1" s="70">
        <v>10</v>
      </c>
      <c r="AI1" s="70">
        <v>11</v>
      </c>
      <c r="AJ1" s="70">
        <v>12</v>
      </c>
    </row>
    <row r="2" spans="1:36" s="71" customFormat="1" ht="22.2" customHeight="1" x14ac:dyDescent="0.2">
      <c r="C2" s="72" t="s">
        <v>76</v>
      </c>
      <c r="D2" s="72"/>
      <c r="E2" s="72"/>
      <c r="F2" s="73"/>
      <c r="G2" s="72"/>
      <c r="H2" s="72"/>
      <c r="L2" s="66" t="s">
        <v>77</v>
      </c>
      <c r="M2" s="67">
        <v>2</v>
      </c>
      <c r="O2" s="68"/>
      <c r="P2" s="68"/>
      <c r="W2" s="70"/>
      <c r="X2" s="70"/>
      <c r="Y2" s="70">
        <f>VALUE(MID(X1,Y1,1))</f>
        <v>0</v>
      </c>
      <c r="Z2" s="70">
        <f>VALUE(MID(X1,Z1,1))</f>
        <v>0</v>
      </c>
      <c r="AA2" s="70">
        <f>VALUE(MID(X1,AA1,1))</f>
        <v>0</v>
      </c>
      <c r="AB2" s="70">
        <f>VALUE(MID(X1,AB1,1))</f>
        <v>0</v>
      </c>
      <c r="AC2" s="70">
        <f>VALUE(MID(X1,AC1,1))</f>
        <v>0</v>
      </c>
      <c r="AD2" s="70">
        <f>VALUE(MID(X1,AD1,1))</f>
        <v>2</v>
      </c>
      <c r="AE2" s="70">
        <f>VALUE(MID(X1,AE1,1))</f>
        <v>0</v>
      </c>
      <c r="AF2" s="70">
        <f>VALUE(MID(X1,AF1,1))</f>
        <v>4</v>
      </c>
      <c r="AG2" s="70">
        <f>VALUE(MID(X1,AG1,1))</f>
        <v>5</v>
      </c>
      <c r="AH2" s="70">
        <f>VALUE(MID(X1,AH1,1))</f>
        <v>0</v>
      </c>
      <c r="AI2" s="70">
        <f>VALUE(MID(X1,AI1,1))</f>
        <v>7</v>
      </c>
      <c r="AJ2" s="70">
        <f>VALUE(MID(X1,AJ1,1))</f>
        <v>0</v>
      </c>
    </row>
    <row r="3" spans="1:36" s="71" customFormat="1" ht="22.2" customHeight="1" x14ac:dyDescent="0.25">
      <c r="C3" s="72" t="s">
        <v>78</v>
      </c>
      <c r="D3" s="74" t="s">
        <v>79</v>
      </c>
      <c r="F3" s="75"/>
      <c r="G3" s="74"/>
      <c r="H3" s="74" t="s">
        <v>80</v>
      </c>
      <c r="I3" s="76"/>
      <c r="J3" s="76"/>
      <c r="K3"/>
      <c r="L3" s="66" t="s">
        <v>81</v>
      </c>
      <c r="M3" s="77">
        <f ca="1">NOW()</f>
        <v>46197.445022453707</v>
      </c>
      <c r="N3" s="58"/>
      <c r="O3" s="68"/>
      <c r="P3" s="68"/>
      <c r="Q3" s="58"/>
      <c r="R3" s="58"/>
      <c r="S3" s="58"/>
      <c r="T3" s="58"/>
      <c r="U3" s="58"/>
      <c r="W3" s="70"/>
      <c r="X3" s="70"/>
      <c r="Y3" s="70">
        <f>SUM(Y2)</f>
        <v>0</v>
      </c>
      <c r="Z3" s="70">
        <f>SUM(Y2:Z2)</f>
        <v>0</v>
      </c>
      <c r="AA3" s="70">
        <f>SUM(Y2:AA2)</f>
        <v>0</v>
      </c>
      <c r="AB3" s="70">
        <f>SUM(AB2)</f>
        <v>0</v>
      </c>
      <c r="AC3" s="70">
        <f>SUM(AB2:AC2)</f>
        <v>0</v>
      </c>
      <c r="AD3" s="70">
        <f>SUM(AB2:AD2)</f>
        <v>2</v>
      </c>
      <c r="AE3" s="70">
        <f>SUM(AE2)</f>
        <v>0</v>
      </c>
      <c r="AF3" s="70">
        <f>SUM(AE2:AF2)</f>
        <v>4</v>
      </c>
      <c r="AG3" s="70">
        <f>SUM(AE2:AG2)</f>
        <v>9</v>
      </c>
      <c r="AH3" s="70">
        <f>SUM(AH2)</f>
        <v>0</v>
      </c>
      <c r="AI3" s="70">
        <f>SUM(AH2:AI2)</f>
        <v>7</v>
      </c>
      <c r="AJ3" s="70">
        <f>SUM(AH2:AJ2)</f>
        <v>7</v>
      </c>
    </row>
    <row r="4" spans="1:36" s="71" customFormat="1" ht="22.95" customHeight="1" x14ac:dyDescent="0.3">
      <c r="A4" s="78" t="s">
        <v>82</v>
      </c>
      <c r="B4" s="78"/>
      <c r="C4" s="78"/>
      <c r="D4" s="78"/>
      <c r="E4" s="78"/>
      <c r="F4" s="78"/>
      <c r="G4" s="78"/>
      <c r="H4" s="78"/>
      <c r="I4" s="78"/>
      <c r="J4" s="78"/>
      <c r="K4" s="79"/>
      <c r="L4" s="66" t="s">
        <v>83</v>
      </c>
      <c r="M4" s="80">
        <v>2</v>
      </c>
      <c r="N4" s="58"/>
      <c r="O4" s="68"/>
      <c r="P4" s="68"/>
      <c r="Q4" s="58"/>
      <c r="R4" s="58"/>
      <c r="S4" s="58"/>
      <c r="T4" s="58"/>
      <c r="U4" s="58"/>
      <c r="W4" s="70"/>
      <c r="X4" s="70"/>
      <c r="Y4" s="70" t="str">
        <f>IF(Y2=0,"",CHOOSE(Y2,"một","hai","ba","bốn","năm","sáu","bảy","tám","chín"))</f>
        <v/>
      </c>
      <c r="Z4" s="70" t="str">
        <f>IF(Z2=0,IF(AND(Y2&lt;&gt;0,AA2&lt;&gt;0),"lẻ",""),CHOOSE(Z2,"mười","hai","ba","bốn","năm","sáu","bảy","tám","chín"))</f>
        <v/>
      </c>
      <c r="AA4" s="70" t="str">
        <f>IF(AA2=0,"",CHOOSE(AA2,IF(Z2&gt;1,"mốt","một"),"hai","ba","bốn",IF(Z2=0,"năm","lăm"),"sáu","bảy","tám","chín"))</f>
        <v/>
      </c>
      <c r="AB4" s="70" t="str">
        <f>IF(AB2=0,"",CHOOSE(AB2,"một","hai","ba","bốn","năm","sáu","bảy","tám","chín"))</f>
        <v/>
      </c>
      <c r="AC4" s="70" t="str">
        <f>IF(AC2=0,IF(AND(AB2&lt;&gt;0,AD2&lt;&gt;0),"lẻ",""),CHOOSE(AC2,"mười","hai","ba","bốn","năm","sáu","bảy","tám","chín"))</f>
        <v/>
      </c>
      <c r="AD4" s="70" t="str">
        <f>IF(AD2=0,"",CHOOSE(AD2,IF(AC2&gt;1,"mốt","một"),"hai","ba","bốn",IF(AC2=0,"năm","lăm"),"sáu","bảy","tám","chín"))</f>
        <v>hai</v>
      </c>
      <c r="AE4" s="70" t="str">
        <f>IF(AE2=0,"",CHOOSE(AE2,"một","hai","ba","bốn","năm","sáu","bảy","tám","chín"))</f>
        <v/>
      </c>
      <c r="AF4" s="70" t="str">
        <f>IF(AF2=0,IF(AND(AE2&lt;&gt;0,AG2&lt;&gt;0),"lẻ",""),CHOOSE(AF2,"mười","hai","ba","bốn","năm","sáu","bảy","tám","chín"))</f>
        <v>bốn</v>
      </c>
      <c r="AG4" s="70" t="str">
        <f>IF(AG2=0,"",CHOOSE(AG2,IF(AF2&gt;1,"mốt","một"),"hai","ba","bốn",IF(AF2=0,"năm","lăm"),"sáu","bảy","tám","chín"))</f>
        <v>lăm</v>
      </c>
      <c r="AH4" s="70" t="str">
        <f>IF(AH2=0,"",CHOOSE(AH2,"một","hai","ba","bốn","năm","sáu","bảy","tám","chín"))</f>
        <v/>
      </c>
      <c r="AI4" s="70" t="str">
        <f>IF(AI2=0,IF(AND(AH2&lt;&gt;0,AJ2&lt;&gt;0),"lẻ",""),CHOOSE(AI2,"mười","hai","ba","bốn","năm","sáu","bảy","tám","chín"))</f>
        <v>bảy</v>
      </c>
      <c r="AJ4" s="70" t="str">
        <f>IF(AJ2=0,"",CHOOSE(AJ2,IF(AI2&gt;1,"mốt","một"),"hai","ba","bốn",IF(AI2=0,"năm","lăm"),"sáu","bảy","tám","chín"))</f>
        <v/>
      </c>
    </row>
    <row r="5" spans="1:36" s="71" customFormat="1" ht="21" customHeight="1" x14ac:dyDescent="0.2">
      <c r="A5" s="72"/>
      <c r="B5" s="72"/>
      <c r="C5" s="72"/>
      <c r="D5" s="81"/>
      <c r="E5" s="82" t="str">
        <f ca="1">"Số:"&amp;HOUR($M$3)&amp;"."&amp;DAY($M$3)&amp;""&amp;MONTH($M$3)&amp;".BG/KDNH/2026"</f>
        <v>Số:10.246.BG/KDNH/2026</v>
      </c>
      <c r="F5" s="73"/>
      <c r="G5" s="72"/>
      <c r="H5" s="72"/>
      <c r="I5" s="72"/>
      <c r="J5" s="72"/>
      <c r="K5" s="79"/>
      <c r="L5" s="66" t="s">
        <v>84</v>
      </c>
      <c r="M5" s="77">
        <f ca="1">M3+M4</f>
        <v>46199.445022453707</v>
      </c>
      <c r="N5" s="58"/>
      <c r="O5" s="68"/>
      <c r="P5" s="68"/>
      <c r="Q5" s="58"/>
      <c r="R5" s="58"/>
      <c r="S5" s="58"/>
      <c r="T5" s="58"/>
      <c r="U5" s="58"/>
      <c r="W5" s="70"/>
      <c r="X5" s="70"/>
      <c r="Y5" s="70" t="str">
        <f>IF(Y2=0,"","trăm")</f>
        <v/>
      </c>
      <c r="Z5" s="70" t="str">
        <f>IF(Z2=0,"",IF(Z2=1,"","mươi"))</f>
        <v/>
      </c>
      <c r="AA5" s="70" t="str">
        <f>IF(AND(AA2=0,AA3=0),"","tỷ,")</f>
        <v/>
      </c>
      <c r="AB5" s="70" t="str">
        <f>IF(AB2=0,"","trăm")</f>
        <v/>
      </c>
      <c r="AC5" s="70" t="str">
        <f>IF(AC2=0,"",IF(AC2=1,"","mươi"))</f>
        <v/>
      </c>
      <c r="AD5" s="70" t="str">
        <f>IF(AND(AD2=0,AD3=0),"","triệu,")</f>
        <v>triệu,</v>
      </c>
      <c r="AE5" s="70" t="str">
        <f>IF(AE2=0,"","trăm")</f>
        <v/>
      </c>
      <c r="AF5" s="70" t="str">
        <f>IF(AF2=0,"",IF(AF2=1,"","mươi"))</f>
        <v>mươi</v>
      </c>
      <c r="AG5" s="70" t="str">
        <f>IF(AND(AG2=0,AG3=0),"","ngàn,")</f>
        <v>ngàn,</v>
      </c>
      <c r="AH5" s="70" t="str">
        <f>IF(AH2=0,"","trăm")</f>
        <v/>
      </c>
      <c r="AI5" s="70" t="str">
        <f>IF(AI2=0,"",IF(AI2=1,"","mươi"))</f>
        <v>mươi</v>
      </c>
      <c r="AJ5" s="70"/>
    </row>
    <row r="6" spans="1:36" s="88" customFormat="1" ht="31.95" customHeight="1" x14ac:dyDescent="0.2">
      <c r="A6" s="83" t="s">
        <v>85</v>
      </c>
      <c r="B6" s="83"/>
      <c r="C6" s="84" t="str">
        <f>VLOOKUP($M$1,'1.KH'!$B$2:$X$12,3,0)</f>
        <v>CÔNG TY TNHH SYPANEL VINA</v>
      </c>
      <c r="D6" s="84"/>
      <c r="E6" s="84"/>
      <c r="F6" s="84"/>
      <c r="G6" s="84"/>
      <c r="H6" s="85" t="s">
        <v>86</v>
      </c>
      <c r="I6" s="86"/>
      <c r="J6" s="86"/>
      <c r="K6" s="87"/>
      <c r="N6" s="68"/>
      <c r="O6" s="68"/>
      <c r="P6" s="68"/>
      <c r="Q6" s="68"/>
      <c r="R6" s="68"/>
      <c r="S6" s="68"/>
      <c r="T6" s="68"/>
      <c r="U6" s="68"/>
      <c r="W6" s="70"/>
      <c r="X6" s="89" t="str">
        <f>UPPER(LEFT(TRIM(IF(W1=0,"không đồng.",Y4&amp;" "&amp;Y5&amp;" "&amp;Z4&amp;" "&amp;Z5&amp;" "&amp;AA4&amp;" "&amp;AA5&amp;" "&amp;AB4&amp;" "&amp;AB5&amp;" "&amp;AC4&amp;" "&amp;AC5&amp;" "&amp;AD4&amp;" "&amp;AD5&amp;" "&amp;AE4&amp;" "&amp;AE5&amp;" "&amp;AF4&amp;" "&amp;AF5&amp;" "&amp;AG4&amp;" "&amp;AG5&amp;" "&amp;AH4&amp;" "&amp;AH5&amp;" "&amp;AI4&amp;" "&amp;AI5&amp;" "&amp;AJ4&amp;" "&amp;AJ5)),1))&amp;RIGHT(TRIM(IF(W1=0,"không đồng.",Y4&amp;" "&amp;Y5&amp;" "&amp;Z4&amp;" "&amp;Z5&amp;" "&amp;AA4&amp;" "&amp;AA5&amp;" "&amp;AB4&amp;" "&amp;AB5&amp;" "&amp;AC4&amp;" "&amp;AC5&amp;" "&amp;AD4&amp;" "&amp;AD5&amp;" "&amp;AE4&amp;" "&amp;AE5&amp;" "&amp;AF4&amp;" "&amp;AF5&amp;" "&amp;AG4&amp;" "&amp;AG5&amp;" "&amp;AH4&amp;" "&amp;AH5&amp;" "&amp;AI4&amp;" "&amp;AI5&amp;" "&amp;AJ4&amp;" "&amp;AJ5)),LEN(TRIM(IF(W1=0,"không đồng.",Y4&amp;" "&amp;Y5&amp;" "&amp;Z4&amp;" "&amp;Z5&amp;" "&amp;AA4&amp;" "&amp;AA5&amp;" "&amp;AB4&amp;" "&amp;AB5&amp;" "&amp;AC4&amp;" "&amp;AC5&amp;" "&amp;AD4&amp;" "&amp;AD5&amp;" "&amp;AE4&amp;" "&amp;AE5&amp;" "&amp;AF4&amp;" "&amp;AF5&amp;" "&amp;AG4&amp;" "&amp;AG5&amp;" "&amp;AH4&amp;" "&amp;AH5&amp;" "&amp;AI4&amp;" "&amp;AI5&amp;" "&amp;AJ4&amp;" "&amp;AJ5)))-1)</f>
        <v>Hai triệu, bốn mươi lăm ngàn, bảy mươi</v>
      </c>
      <c r="Y6" s="70"/>
      <c r="Z6" s="70"/>
      <c r="AA6" s="70"/>
      <c r="AB6" s="70"/>
      <c r="AC6" s="70"/>
      <c r="AD6" s="70"/>
      <c r="AE6" s="70"/>
      <c r="AF6" s="70"/>
      <c r="AG6" s="70"/>
      <c r="AH6" s="70"/>
      <c r="AI6" s="70"/>
      <c r="AJ6" s="70"/>
    </row>
    <row r="7" spans="1:36" s="68" customFormat="1" ht="27.6" customHeight="1" x14ac:dyDescent="0.2">
      <c r="A7" s="72" t="s">
        <v>87</v>
      </c>
      <c r="B7" s="72"/>
      <c r="C7" s="84" t="str">
        <f>VLOOKUP($M$1,'1.KH'!$B$2:$X$12,9,0)</f>
        <v xml:space="preserve"> KCN Minh Đức, xã Bạch Sam, huyện Mỹ Hào, tỉnh Hưng Yên</v>
      </c>
      <c r="D7" s="84"/>
      <c r="E7" s="84"/>
      <c r="F7" s="84"/>
      <c r="G7" s="84"/>
      <c r="H7" s="85" t="s">
        <v>88</v>
      </c>
      <c r="I7" s="90"/>
      <c r="J7" s="90"/>
      <c r="K7" s="87"/>
      <c r="W7" s="70"/>
      <c r="X7" s="89" t="str">
        <f>""&amp;$X$6&amp;" đồng ./."</f>
        <v>Hai triệu, bốn mươi lăm ngàn, bảy mươi đồng ./.</v>
      </c>
      <c r="Y7" s="70"/>
      <c r="Z7" s="70"/>
      <c r="AA7" s="70"/>
      <c r="AB7" s="70"/>
      <c r="AC7" s="70"/>
      <c r="AD7" s="70"/>
      <c r="AE7" s="70"/>
      <c r="AF7" s="70"/>
      <c r="AG7" s="70"/>
      <c r="AH7" s="70"/>
      <c r="AI7" s="70"/>
      <c r="AJ7" s="70"/>
    </row>
    <row r="8" spans="1:36" s="68" customFormat="1" ht="22.2" customHeight="1" x14ac:dyDescent="0.25">
      <c r="A8" s="72" t="s">
        <v>89</v>
      </c>
      <c r="B8" s="72"/>
      <c r="C8" s="91" t="str">
        <f>VLOOKUP($J$1,'1.KH'!$C$2:$X$12,5,0)</f>
        <v>Mr Cường</v>
      </c>
      <c r="D8" s="91"/>
      <c r="E8" s="91"/>
      <c r="F8" s="91"/>
      <c r="G8" s="91"/>
      <c r="H8" s="85" t="str">
        <f ca="1">"    Ngày báo giá: "&amp;DAY($M$3)&amp;"/"&amp;MONTH($M$3)&amp;"/"&amp;YEAR($M$3)</f>
        <v xml:space="preserve">    Ngày báo giá: 24/6/2026</v>
      </c>
      <c r="I8" s="92"/>
      <c r="J8" s="92"/>
      <c r="K8" s="93"/>
    </row>
    <row r="9" spans="1:36" s="68" customFormat="1" ht="22.2" customHeight="1" x14ac:dyDescent="0.25">
      <c r="A9" s="72" t="s">
        <v>90</v>
      </c>
      <c r="B9" s="72"/>
      <c r="C9" s="94" t="str">
        <f>VLOOKUP($J$1,'1.KH'!$C$2:$X$12,6,0)</f>
        <v>0902804007</v>
      </c>
      <c r="D9" s="94"/>
      <c r="E9" s="94"/>
      <c r="F9" s="94"/>
      <c r="G9" s="94"/>
      <c r="H9" s="85" t="str">
        <f ca="1">"    Hiệu lực đến ngày: "&amp;DAY($M$5)&amp;"/"&amp;MONTH($M$5)&amp;"/"&amp;YEAR($M$5)</f>
        <v xml:space="preserve">    Hiệu lực đến ngày: 26/6/2026</v>
      </c>
      <c r="I9" s="92"/>
      <c r="J9" s="92"/>
      <c r="K9" s="93"/>
    </row>
    <row r="10" spans="1:36" s="68" customFormat="1" ht="43.95" customHeight="1" x14ac:dyDescent="0.25">
      <c r="A10" s="95" t="s">
        <v>91</v>
      </c>
      <c r="B10" s="95"/>
      <c r="C10" s="95"/>
      <c r="D10" s="95"/>
      <c r="E10" s="95"/>
      <c r="F10" s="95"/>
      <c r="G10" s="95"/>
      <c r="H10" s="95"/>
      <c r="I10" s="95"/>
      <c r="J10" s="95"/>
      <c r="K10" s="96" t="s">
        <v>92</v>
      </c>
      <c r="L10" s="96"/>
      <c r="M10" s="96"/>
    </row>
    <row r="11" spans="1:36" s="68" customFormat="1" ht="43.95" customHeight="1" x14ac:dyDescent="0.25">
      <c r="A11" s="97" t="s">
        <v>93</v>
      </c>
      <c r="B11" s="98" t="s">
        <v>94</v>
      </c>
      <c r="C11" s="98"/>
      <c r="D11" s="99" t="s">
        <v>95</v>
      </c>
      <c r="E11" s="100" t="s">
        <v>96</v>
      </c>
      <c r="F11" s="101" t="s">
        <v>97</v>
      </c>
      <c r="G11" s="99" t="s">
        <v>98</v>
      </c>
      <c r="H11" s="102" t="s">
        <v>99</v>
      </c>
      <c r="I11" s="103" t="s">
        <v>100</v>
      </c>
      <c r="J11" s="103" t="s">
        <v>101</v>
      </c>
      <c r="K11" s="104"/>
    </row>
    <row r="12" spans="1:36" s="68" customFormat="1" ht="108.6" customHeight="1" x14ac:dyDescent="0.25">
      <c r="A12" s="105"/>
      <c r="B12" s="106" t="s">
        <v>102</v>
      </c>
      <c r="C12" s="107"/>
      <c r="D12" s="107"/>
      <c r="E12" s="107"/>
      <c r="F12" s="107"/>
      <c r="G12" s="107"/>
      <c r="H12" s="107"/>
      <c r="I12" s="107"/>
      <c r="J12" s="108"/>
      <c r="K12" s="104"/>
    </row>
    <row r="13" spans="1:36" s="68" customFormat="1" ht="22.2" customHeight="1" x14ac:dyDescent="0.25">
      <c r="A13" s="105"/>
      <c r="B13" s="109"/>
      <c r="C13" s="109"/>
      <c r="D13" s="105"/>
      <c r="E13" s="110"/>
      <c r="F13" s="111"/>
      <c r="G13" s="105">
        <f>SUM(G14:G14)</f>
        <v>1</v>
      </c>
      <c r="H13" s="112">
        <f>SUM(H14:H14)</f>
        <v>1.1299999999999999</v>
      </c>
      <c r="I13" s="113">
        <v>409000</v>
      </c>
      <c r="J13" s="113">
        <f>I13*H13</f>
        <v>462169.99999999994</v>
      </c>
      <c r="K13" s="104"/>
    </row>
    <row r="14" spans="1:36" s="68" customFormat="1" ht="22.2" customHeight="1" x14ac:dyDescent="0.25">
      <c r="A14" s="114">
        <v>1</v>
      </c>
      <c r="B14" s="115" t="s">
        <v>103</v>
      </c>
      <c r="C14" s="115"/>
      <c r="D14" s="114" t="s">
        <v>104</v>
      </c>
      <c r="E14" s="116">
        <v>1.1299999999999999</v>
      </c>
      <c r="F14" s="117">
        <v>1</v>
      </c>
      <c r="G14" s="114">
        <v>1</v>
      </c>
      <c r="H14" s="118">
        <f>E14*F14*G14</f>
        <v>1.1299999999999999</v>
      </c>
      <c r="I14" s="119"/>
      <c r="J14" s="119"/>
      <c r="K14" s="104"/>
    </row>
    <row r="15" spans="1:36" s="68" customFormat="1" ht="108.6" customHeight="1" x14ac:dyDescent="0.25">
      <c r="A15" s="105"/>
      <c r="B15" s="106" t="s">
        <v>105</v>
      </c>
      <c r="C15" s="107"/>
      <c r="D15" s="107"/>
      <c r="E15" s="107"/>
      <c r="F15" s="107"/>
      <c r="G15" s="107"/>
      <c r="H15" s="107"/>
      <c r="I15" s="107"/>
      <c r="J15" s="108"/>
    </row>
    <row r="16" spans="1:36" s="68" customFormat="1" ht="22.2" customHeight="1" x14ac:dyDescent="0.25">
      <c r="A16" s="105"/>
      <c r="B16" s="109"/>
      <c r="C16" s="109"/>
      <c r="D16" s="105"/>
      <c r="E16" s="110"/>
      <c r="F16" s="111"/>
      <c r="G16" s="105">
        <f>SUM(G17:G17)</f>
        <v>1</v>
      </c>
      <c r="H16" s="112">
        <f>SUM(H17:H17)</f>
        <v>1</v>
      </c>
      <c r="I16" s="113">
        <v>415000</v>
      </c>
      <c r="J16" s="113">
        <f>I16*H16</f>
        <v>415000</v>
      </c>
    </row>
    <row r="17" spans="1:10" s="68" customFormat="1" ht="22.2" customHeight="1" x14ac:dyDescent="0.25">
      <c r="A17" s="114">
        <v>1</v>
      </c>
      <c r="B17" s="115" t="s">
        <v>103</v>
      </c>
      <c r="C17" s="115"/>
      <c r="D17" s="114" t="s">
        <v>104</v>
      </c>
      <c r="E17" s="116">
        <v>1</v>
      </c>
      <c r="F17" s="117">
        <v>1</v>
      </c>
      <c r="G17" s="114">
        <v>1</v>
      </c>
      <c r="H17" s="118">
        <f>E17*F17*G17</f>
        <v>1</v>
      </c>
      <c r="I17" s="119"/>
      <c r="J17" s="119"/>
    </row>
    <row r="18" spans="1:10" s="68" customFormat="1" ht="108" customHeight="1" x14ac:dyDescent="0.25">
      <c r="A18" s="105"/>
      <c r="B18" s="106" t="s">
        <v>106</v>
      </c>
      <c r="C18" s="107"/>
      <c r="D18" s="107"/>
      <c r="E18" s="107"/>
      <c r="F18" s="107"/>
      <c r="G18" s="107"/>
      <c r="H18" s="107"/>
      <c r="I18" s="107"/>
      <c r="J18" s="108"/>
    </row>
    <row r="19" spans="1:10" s="68" customFormat="1" ht="22.2" customHeight="1" x14ac:dyDescent="0.25">
      <c r="A19" s="105"/>
      <c r="B19" s="109"/>
      <c r="C19" s="109"/>
      <c r="D19" s="105"/>
      <c r="E19" s="110"/>
      <c r="F19" s="111"/>
      <c r="G19" s="105">
        <f>SUM(G20:G20)</f>
        <v>1</v>
      </c>
      <c r="H19" s="112">
        <f>SUM(H20:H20)</f>
        <v>1</v>
      </c>
      <c r="I19" s="113">
        <v>232000</v>
      </c>
      <c r="J19" s="113">
        <f>I19*H19</f>
        <v>232000</v>
      </c>
    </row>
    <row r="20" spans="1:10" s="68" customFormat="1" ht="22.2" customHeight="1" x14ac:dyDescent="0.25">
      <c r="A20" s="114">
        <v>1</v>
      </c>
      <c r="B20" s="115" t="s">
        <v>103</v>
      </c>
      <c r="C20" s="115"/>
      <c r="D20" s="114" t="s">
        <v>104</v>
      </c>
      <c r="E20" s="116">
        <v>1</v>
      </c>
      <c r="F20" s="117">
        <v>1</v>
      </c>
      <c r="G20" s="114">
        <v>1</v>
      </c>
      <c r="H20" s="118">
        <f>E20*F20*G20</f>
        <v>1</v>
      </c>
      <c r="I20" s="119"/>
      <c r="J20" s="119"/>
    </row>
    <row r="21" spans="1:10" s="68" customFormat="1" ht="108.6" customHeight="1" x14ac:dyDescent="0.25">
      <c r="A21" s="105"/>
      <c r="B21" s="106" t="s">
        <v>107</v>
      </c>
      <c r="C21" s="107"/>
      <c r="D21" s="107"/>
      <c r="E21" s="107"/>
      <c r="F21" s="107"/>
      <c r="G21" s="107"/>
      <c r="H21" s="107"/>
      <c r="I21" s="120"/>
      <c r="J21" s="108"/>
    </row>
    <row r="22" spans="1:10" s="68" customFormat="1" ht="22.2" customHeight="1" x14ac:dyDescent="0.25">
      <c r="A22" s="105"/>
      <c r="B22" s="109"/>
      <c r="C22" s="109"/>
      <c r="D22" s="105"/>
      <c r="E22" s="110"/>
      <c r="F22" s="111"/>
      <c r="G22" s="105">
        <f>SUM(G23:G23)</f>
        <v>1</v>
      </c>
      <c r="H22" s="112">
        <f>SUM(H23:H23)</f>
        <v>1</v>
      </c>
      <c r="I22" s="113">
        <v>243000</v>
      </c>
      <c r="J22" s="113">
        <f>I22*H22</f>
        <v>243000</v>
      </c>
    </row>
    <row r="23" spans="1:10" s="68" customFormat="1" ht="22.2" customHeight="1" x14ac:dyDescent="0.25">
      <c r="A23" s="114">
        <v>1</v>
      </c>
      <c r="B23" s="121" t="s">
        <v>103</v>
      </c>
      <c r="C23" s="121"/>
      <c r="D23" s="114" t="s">
        <v>104</v>
      </c>
      <c r="E23" s="116">
        <v>1</v>
      </c>
      <c r="F23" s="117">
        <v>1</v>
      </c>
      <c r="G23" s="114">
        <v>1</v>
      </c>
      <c r="H23" s="118">
        <f>E23*F23*G23</f>
        <v>1</v>
      </c>
      <c r="I23" s="119"/>
      <c r="J23" s="119"/>
    </row>
    <row r="24" spans="1:10" s="68" customFormat="1" ht="109.2" customHeight="1" x14ac:dyDescent="0.25">
      <c r="A24" s="105"/>
      <c r="B24" s="106" t="s">
        <v>108</v>
      </c>
      <c r="C24" s="107"/>
      <c r="D24" s="107"/>
      <c r="E24" s="107"/>
      <c r="F24" s="107"/>
      <c r="G24" s="107"/>
      <c r="H24" s="107"/>
      <c r="I24" s="107"/>
      <c r="J24" s="108"/>
    </row>
    <row r="25" spans="1:10" s="68" customFormat="1" ht="22.2" customHeight="1" x14ac:dyDescent="0.25">
      <c r="A25" s="105"/>
      <c r="B25" s="109"/>
      <c r="C25" s="109"/>
      <c r="D25" s="105"/>
      <c r="E25" s="110"/>
      <c r="F25" s="111"/>
      <c r="G25" s="105">
        <f>SUM(G26:G26)</f>
        <v>1</v>
      </c>
      <c r="H25" s="112">
        <f>SUM(H26:H26)</f>
        <v>0.45</v>
      </c>
      <c r="I25" s="113">
        <v>230000</v>
      </c>
      <c r="J25" s="113">
        <f>I25*H25</f>
        <v>103500</v>
      </c>
    </row>
    <row r="26" spans="1:10" s="68" customFormat="1" ht="22.2" customHeight="1" x14ac:dyDescent="0.25">
      <c r="A26" s="114">
        <v>1</v>
      </c>
      <c r="B26" s="115" t="s">
        <v>103</v>
      </c>
      <c r="C26" s="115"/>
      <c r="D26" s="114" t="s">
        <v>104</v>
      </c>
      <c r="E26" s="116">
        <v>0.45</v>
      </c>
      <c r="F26" s="117">
        <v>1</v>
      </c>
      <c r="G26" s="114">
        <v>1</v>
      </c>
      <c r="H26" s="118">
        <f>E26*F26*G26</f>
        <v>0.45</v>
      </c>
      <c r="I26" s="119"/>
      <c r="J26" s="119"/>
    </row>
    <row r="27" spans="1:10" s="68" customFormat="1" ht="105.6" customHeight="1" x14ac:dyDescent="0.25">
      <c r="A27" s="105" t="s">
        <v>109</v>
      </c>
      <c r="B27" s="106" t="s">
        <v>110</v>
      </c>
      <c r="C27" s="107"/>
      <c r="D27" s="107"/>
      <c r="E27" s="107"/>
      <c r="F27" s="107"/>
      <c r="G27" s="107"/>
      <c r="H27" s="107"/>
      <c r="I27" s="107"/>
      <c r="J27" s="108"/>
    </row>
    <row r="28" spans="1:10" s="68" customFormat="1" ht="22.2" customHeight="1" x14ac:dyDescent="0.25">
      <c r="A28" s="105"/>
      <c r="B28" s="109"/>
      <c r="C28" s="109"/>
      <c r="D28" s="105"/>
      <c r="E28" s="110"/>
      <c r="F28" s="111"/>
      <c r="G28" s="105">
        <f>SUM(G29:G29)</f>
        <v>1</v>
      </c>
      <c r="H28" s="112">
        <f>SUM(H29:H29)</f>
        <v>1.08</v>
      </c>
      <c r="I28" s="113">
        <v>215000</v>
      </c>
      <c r="J28" s="113">
        <f>I28*H28</f>
        <v>232200.00000000003</v>
      </c>
    </row>
    <row r="29" spans="1:10" s="68" customFormat="1" ht="22.2" customHeight="1" x14ac:dyDescent="0.25">
      <c r="A29" s="114">
        <v>1</v>
      </c>
      <c r="B29" s="115" t="s">
        <v>103</v>
      </c>
      <c r="C29" s="115"/>
      <c r="D29" s="114" t="s">
        <v>104</v>
      </c>
      <c r="E29" s="116">
        <v>1.08</v>
      </c>
      <c r="F29" s="117">
        <v>1</v>
      </c>
      <c r="G29" s="114">
        <v>1</v>
      </c>
      <c r="H29" s="118">
        <f>E29*F29*G29</f>
        <v>1.08</v>
      </c>
      <c r="I29" s="119"/>
      <c r="J29" s="119"/>
    </row>
    <row r="30" spans="1:10" s="68" customFormat="1" ht="105.6" customHeight="1" x14ac:dyDescent="0.25">
      <c r="A30" s="105"/>
      <c r="B30" s="106" t="s">
        <v>111</v>
      </c>
      <c r="C30" s="107"/>
      <c r="D30" s="107"/>
      <c r="E30" s="107"/>
      <c r="F30" s="107"/>
      <c r="G30" s="107"/>
      <c r="H30" s="107"/>
      <c r="I30" s="107"/>
      <c r="J30" s="108"/>
    </row>
    <row r="31" spans="1:10" s="68" customFormat="1" ht="22.2" customHeight="1" x14ac:dyDescent="0.25">
      <c r="A31" s="105"/>
      <c r="B31" s="109"/>
      <c r="C31" s="109"/>
      <c r="D31" s="105"/>
      <c r="E31" s="110"/>
      <c r="F31" s="111"/>
      <c r="G31" s="105">
        <f>SUM(G32:G32)</f>
        <v>1</v>
      </c>
      <c r="H31" s="112">
        <f>SUM(H32:H32)</f>
        <v>1.08</v>
      </c>
      <c r="I31" s="113">
        <v>215000</v>
      </c>
      <c r="J31" s="113">
        <f>I31*H31</f>
        <v>232200.00000000003</v>
      </c>
    </row>
    <row r="32" spans="1:10" s="68" customFormat="1" ht="22.2" customHeight="1" x14ac:dyDescent="0.25">
      <c r="A32" s="114">
        <v>1</v>
      </c>
      <c r="B32" s="115" t="s">
        <v>103</v>
      </c>
      <c r="C32" s="115"/>
      <c r="D32" s="114" t="s">
        <v>104</v>
      </c>
      <c r="E32" s="116">
        <v>1.08</v>
      </c>
      <c r="F32" s="117">
        <v>1</v>
      </c>
      <c r="G32" s="114">
        <v>1</v>
      </c>
      <c r="H32" s="118">
        <f>E32*F32*G32</f>
        <v>1.08</v>
      </c>
      <c r="I32" s="119"/>
      <c r="J32" s="119"/>
    </row>
    <row r="33" spans="1:10" s="68" customFormat="1" ht="51" customHeight="1" x14ac:dyDescent="0.25">
      <c r="A33" s="105"/>
      <c r="B33" s="122" t="s">
        <v>112</v>
      </c>
      <c r="C33" s="123"/>
      <c r="D33" s="123"/>
      <c r="E33" s="123"/>
      <c r="F33" s="123"/>
      <c r="G33" s="123"/>
      <c r="H33" s="123"/>
      <c r="I33" s="123"/>
      <c r="J33" s="124"/>
    </row>
    <row r="34" spans="1:10" s="68" customFormat="1" ht="22.2" customHeight="1" x14ac:dyDescent="0.25">
      <c r="A34" s="105"/>
      <c r="B34" s="109"/>
      <c r="C34" s="109"/>
      <c r="D34" s="105"/>
      <c r="E34" s="110"/>
      <c r="F34" s="111"/>
      <c r="G34" s="105">
        <f>SUM(G35:G35)</f>
        <v>1</v>
      </c>
      <c r="H34" s="112">
        <f>SUM(H35:H35)</f>
        <v>1</v>
      </c>
      <c r="I34" s="113">
        <v>125000</v>
      </c>
      <c r="J34" s="113">
        <f>I34*H34</f>
        <v>125000</v>
      </c>
    </row>
    <row r="35" spans="1:10" s="68" customFormat="1" ht="22.2" customHeight="1" x14ac:dyDescent="0.25">
      <c r="A35" s="114">
        <v>1</v>
      </c>
      <c r="B35" s="115" t="s">
        <v>103</v>
      </c>
      <c r="C35" s="115"/>
      <c r="D35" s="114" t="s">
        <v>104</v>
      </c>
      <c r="E35" s="116">
        <v>1</v>
      </c>
      <c r="F35" s="117">
        <v>1</v>
      </c>
      <c r="G35" s="114">
        <v>1</v>
      </c>
      <c r="H35" s="118">
        <f>E35*F35*G35</f>
        <v>1</v>
      </c>
      <c r="I35" s="119"/>
      <c r="J35" s="119"/>
    </row>
    <row r="36" spans="1:10" s="68" customFormat="1" ht="22.2" customHeight="1" x14ac:dyDescent="0.25">
      <c r="A36" s="105"/>
      <c r="B36" s="125" t="s">
        <v>113</v>
      </c>
      <c r="C36" s="126"/>
      <c r="D36" s="126"/>
      <c r="E36" s="126"/>
      <c r="F36" s="126"/>
      <c r="G36" s="126"/>
      <c r="H36" s="126"/>
      <c r="I36" s="127"/>
      <c r="J36" s="128"/>
    </row>
    <row r="37" spans="1:10" s="68" customFormat="1" ht="22.2" customHeight="1" x14ac:dyDescent="0.25">
      <c r="A37" s="114">
        <v>1</v>
      </c>
      <c r="B37" s="115" t="s">
        <v>114</v>
      </c>
      <c r="C37" s="115"/>
      <c r="D37" s="114" t="s">
        <v>115</v>
      </c>
      <c r="E37" s="116"/>
      <c r="F37" s="117"/>
      <c r="G37" s="114">
        <v>1</v>
      </c>
      <c r="H37" s="118">
        <v>1</v>
      </c>
      <c r="I37" s="119">
        <v>19000</v>
      </c>
      <c r="J37" s="119"/>
    </row>
    <row r="38" spans="1:10" s="68" customFormat="1" ht="22.2" customHeight="1" x14ac:dyDescent="0.25">
      <c r="A38" s="114">
        <v>2</v>
      </c>
      <c r="B38" s="115" t="s">
        <v>116</v>
      </c>
      <c r="C38" s="115"/>
      <c r="D38" s="114" t="s">
        <v>117</v>
      </c>
      <c r="E38" s="116"/>
      <c r="F38" s="117"/>
      <c r="G38" s="114">
        <v>1</v>
      </c>
      <c r="H38" s="118">
        <v>1</v>
      </c>
      <c r="I38" s="119">
        <v>7000</v>
      </c>
      <c r="J38" s="119"/>
    </row>
    <row r="39" spans="1:10" s="68" customFormat="1" ht="22.2" customHeight="1" x14ac:dyDescent="0.25">
      <c r="A39" s="114">
        <v>3</v>
      </c>
      <c r="B39" s="115" t="s">
        <v>118</v>
      </c>
      <c r="C39" s="115"/>
      <c r="D39" s="114" t="s">
        <v>115</v>
      </c>
      <c r="E39" s="116"/>
      <c r="F39" s="117"/>
      <c r="G39" s="114">
        <v>1</v>
      </c>
      <c r="H39" s="118">
        <v>1</v>
      </c>
      <c r="I39" s="119">
        <v>13000</v>
      </c>
      <c r="J39" s="119"/>
    </row>
    <row r="40" spans="1:10" s="68" customFormat="1" ht="39" customHeight="1" x14ac:dyDescent="0.25">
      <c r="A40" s="105"/>
      <c r="B40" s="122" t="s">
        <v>119</v>
      </c>
      <c r="C40" s="123"/>
      <c r="D40" s="123"/>
      <c r="E40" s="123"/>
      <c r="F40" s="123"/>
      <c r="G40" s="123"/>
      <c r="H40" s="123"/>
      <c r="I40" s="123"/>
      <c r="J40" s="124"/>
    </row>
    <row r="41" spans="1:10" s="68" customFormat="1" ht="22.2" customHeight="1" x14ac:dyDescent="0.25">
      <c r="A41" s="105"/>
      <c r="B41" s="109"/>
      <c r="C41" s="109"/>
      <c r="D41" s="105"/>
      <c r="E41" s="110"/>
      <c r="F41" s="111"/>
      <c r="G41" s="105">
        <f>SUM(G42:G50)</f>
        <v>9</v>
      </c>
      <c r="H41" s="129">
        <f>SUM(H42:H50)</f>
        <v>9.1999999999999993</v>
      </c>
      <c r="I41" s="113"/>
      <c r="J41" s="113"/>
    </row>
    <row r="42" spans="1:10" s="68" customFormat="1" ht="22.2" customHeight="1" x14ac:dyDescent="0.25">
      <c r="A42" s="114">
        <v>1</v>
      </c>
      <c r="B42" s="115" t="s">
        <v>120</v>
      </c>
      <c r="C42" s="115"/>
      <c r="D42" s="114" t="s">
        <v>121</v>
      </c>
      <c r="E42" s="116">
        <v>0.1</v>
      </c>
      <c r="F42" s="117">
        <v>1.2</v>
      </c>
      <c r="G42" s="114">
        <v>1</v>
      </c>
      <c r="H42" s="130">
        <f>F42*G42</f>
        <v>1.2</v>
      </c>
      <c r="I42" s="119">
        <f>ROUND(($K$41/(1.2/E42)+$K$42)/1.1,-2)</f>
        <v>0</v>
      </c>
      <c r="J42" s="119">
        <f>I42*H42</f>
        <v>0</v>
      </c>
    </row>
    <row r="43" spans="1:10" s="68" customFormat="1" ht="22.2" customHeight="1" x14ac:dyDescent="0.25">
      <c r="A43" s="114">
        <v>2</v>
      </c>
      <c r="B43" s="115" t="s">
        <v>122</v>
      </c>
      <c r="C43" s="115"/>
      <c r="D43" s="114" t="s">
        <v>121</v>
      </c>
      <c r="E43" s="116">
        <v>0.12</v>
      </c>
      <c r="F43" s="117">
        <v>1</v>
      </c>
      <c r="G43" s="114">
        <v>1</v>
      </c>
      <c r="H43" s="130">
        <f t="shared" ref="H43:H55" si="0">F43*G43</f>
        <v>1</v>
      </c>
      <c r="I43" s="119">
        <f t="shared" ref="I43:I50" si="1">ROUND(($K$41/(1.2/E43)+$K$42)/1.1,-2)</f>
        <v>0</v>
      </c>
      <c r="J43" s="119">
        <f t="shared" ref="J43:J55" si="2">I43*H43</f>
        <v>0</v>
      </c>
    </row>
    <row r="44" spans="1:10" s="68" customFormat="1" ht="22.2" customHeight="1" x14ac:dyDescent="0.25">
      <c r="A44" s="114">
        <v>2</v>
      </c>
      <c r="B44" s="115" t="s">
        <v>123</v>
      </c>
      <c r="C44" s="115"/>
      <c r="D44" s="114" t="s">
        <v>121</v>
      </c>
      <c r="E44" s="116">
        <v>0.15</v>
      </c>
      <c r="F44" s="117">
        <v>1</v>
      </c>
      <c r="G44" s="114">
        <v>1</v>
      </c>
      <c r="H44" s="130">
        <f t="shared" si="0"/>
        <v>1</v>
      </c>
      <c r="I44" s="119">
        <f t="shared" si="1"/>
        <v>0</v>
      </c>
      <c r="J44" s="119">
        <f t="shared" si="2"/>
        <v>0</v>
      </c>
    </row>
    <row r="45" spans="1:10" s="68" customFormat="1" ht="22.2" customHeight="1" x14ac:dyDescent="0.25">
      <c r="A45" s="114">
        <v>3</v>
      </c>
      <c r="B45" s="115" t="s">
        <v>124</v>
      </c>
      <c r="C45" s="115"/>
      <c r="D45" s="114" t="s">
        <v>121</v>
      </c>
      <c r="E45" s="116">
        <v>0.2</v>
      </c>
      <c r="F45" s="117">
        <v>1</v>
      </c>
      <c r="G45" s="114">
        <v>1</v>
      </c>
      <c r="H45" s="130">
        <f t="shared" si="0"/>
        <v>1</v>
      </c>
      <c r="I45" s="119">
        <f t="shared" si="1"/>
        <v>0</v>
      </c>
      <c r="J45" s="119">
        <f t="shared" si="2"/>
        <v>0</v>
      </c>
    </row>
    <row r="46" spans="1:10" s="68" customFormat="1" ht="22.2" customHeight="1" x14ac:dyDescent="0.25">
      <c r="A46" s="114">
        <v>4</v>
      </c>
      <c r="B46" s="115" t="s">
        <v>125</v>
      </c>
      <c r="C46" s="115"/>
      <c r="D46" s="114" t="s">
        <v>121</v>
      </c>
      <c r="E46" s="116">
        <v>0.24</v>
      </c>
      <c r="F46" s="117">
        <v>1</v>
      </c>
      <c r="G46" s="114">
        <v>1</v>
      </c>
      <c r="H46" s="130">
        <f t="shared" si="0"/>
        <v>1</v>
      </c>
      <c r="I46" s="119">
        <f t="shared" si="1"/>
        <v>0</v>
      </c>
      <c r="J46" s="119">
        <f t="shared" si="2"/>
        <v>0</v>
      </c>
    </row>
    <row r="47" spans="1:10" s="68" customFormat="1" ht="22.2" customHeight="1" x14ac:dyDescent="0.25">
      <c r="A47" s="114">
        <v>5</v>
      </c>
      <c r="B47" s="115" t="s">
        <v>126</v>
      </c>
      <c r="C47" s="115"/>
      <c r="D47" s="114" t="s">
        <v>121</v>
      </c>
      <c r="E47" s="116">
        <v>0.3</v>
      </c>
      <c r="F47" s="117">
        <v>1</v>
      </c>
      <c r="G47" s="114">
        <v>1</v>
      </c>
      <c r="H47" s="130">
        <f t="shared" si="0"/>
        <v>1</v>
      </c>
      <c r="I47" s="119">
        <f t="shared" si="1"/>
        <v>0</v>
      </c>
      <c r="J47" s="119">
        <f t="shared" si="2"/>
        <v>0</v>
      </c>
    </row>
    <row r="48" spans="1:10" s="68" customFormat="1" ht="22.2" customHeight="1" x14ac:dyDescent="0.25">
      <c r="A48" s="114">
        <v>6</v>
      </c>
      <c r="B48" s="115" t="s">
        <v>127</v>
      </c>
      <c r="C48" s="115"/>
      <c r="D48" s="114" t="s">
        <v>121</v>
      </c>
      <c r="E48" s="116">
        <v>0.4</v>
      </c>
      <c r="F48" s="117">
        <v>1</v>
      </c>
      <c r="G48" s="114">
        <v>1</v>
      </c>
      <c r="H48" s="130">
        <f t="shared" si="0"/>
        <v>1</v>
      </c>
      <c r="I48" s="119">
        <f t="shared" si="1"/>
        <v>0</v>
      </c>
      <c r="J48" s="119">
        <f t="shared" si="2"/>
        <v>0</v>
      </c>
    </row>
    <row r="49" spans="1:11" s="68" customFormat="1" ht="22.2" customHeight="1" x14ac:dyDescent="0.25">
      <c r="A49" s="114">
        <v>7</v>
      </c>
      <c r="B49" s="115" t="s">
        <v>128</v>
      </c>
      <c r="C49" s="115"/>
      <c r="D49" s="114" t="s">
        <v>121</v>
      </c>
      <c r="E49" s="116">
        <v>0.5</v>
      </c>
      <c r="F49" s="117">
        <v>1</v>
      </c>
      <c r="G49" s="114">
        <v>1</v>
      </c>
      <c r="H49" s="130">
        <f t="shared" si="0"/>
        <v>1</v>
      </c>
      <c r="I49" s="119">
        <f t="shared" si="1"/>
        <v>0</v>
      </c>
      <c r="J49" s="119">
        <f t="shared" si="2"/>
        <v>0</v>
      </c>
      <c r="K49" s="131"/>
    </row>
    <row r="50" spans="1:11" s="68" customFormat="1" ht="22.2" customHeight="1" x14ac:dyDescent="0.25">
      <c r="A50" s="114">
        <v>8</v>
      </c>
      <c r="B50" s="115" t="s">
        <v>129</v>
      </c>
      <c r="C50" s="115"/>
      <c r="D50" s="114" t="s">
        <v>121</v>
      </c>
      <c r="E50" s="116">
        <v>0.6</v>
      </c>
      <c r="F50" s="117">
        <v>1</v>
      </c>
      <c r="G50" s="114">
        <v>1</v>
      </c>
      <c r="H50" s="130">
        <f t="shared" si="0"/>
        <v>1</v>
      </c>
      <c r="I50" s="119">
        <f t="shared" si="1"/>
        <v>0</v>
      </c>
      <c r="J50" s="119">
        <f t="shared" si="2"/>
        <v>0</v>
      </c>
      <c r="K50" s="131"/>
    </row>
    <row r="51" spans="1:11" s="68" customFormat="1" ht="22.2" customHeight="1" x14ac:dyDescent="0.25">
      <c r="A51" s="114">
        <v>9</v>
      </c>
      <c r="B51" s="132" t="s">
        <v>130</v>
      </c>
      <c r="C51" s="133"/>
      <c r="D51" s="114" t="s">
        <v>121</v>
      </c>
      <c r="E51" s="116">
        <v>0.7</v>
      </c>
      <c r="F51" s="117">
        <v>1</v>
      </c>
      <c r="G51" s="114">
        <v>1</v>
      </c>
      <c r="H51" s="130">
        <f t="shared" si="0"/>
        <v>1</v>
      </c>
      <c r="I51" s="119">
        <f t="shared" ref="I51:I55" si="3">ROUND(($K$26/(1.2/E51)+$K$27)/1.1,-2)</f>
        <v>0</v>
      </c>
      <c r="J51" s="119">
        <f t="shared" si="2"/>
        <v>0</v>
      </c>
      <c r="K51" s="131"/>
    </row>
    <row r="52" spans="1:11" s="68" customFormat="1" ht="22.2" customHeight="1" x14ac:dyDescent="0.25">
      <c r="A52" s="114">
        <v>10</v>
      </c>
      <c r="B52" s="132" t="s">
        <v>131</v>
      </c>
      <c r="C52" s="133"/>
      <c r="D52" s="114" t="s">
        <v>121</v>
      </c>
      <c r="E52" s="116">
        <v>0.8</v>
      </c>
      <c r="F52" s="117">
        <v>1</v>
      </c>
      <c r="G52" s="114">
        <v>1</v>
      </c>
      <c r="H52" s="130">
        <f t="shared" si="0"/>
        <v>1</v>
      </c>
      <c r="I52" s="119">
        <f t="shared" si="3"/>
        <v>0</v>
      </c>
      <c r="J52" s="119">
        <f t="shared" si="2"/>
        <v>0</v>
      </c>
      <c r="K52" s="131"/>
    </row>
    <row r="53" spans="1:11" s="68" customFormat="1" ht="22.2" customHeight="1" x14ac:dyDescent="0.25">
      <c r="A53" s="114">
        <v>11</v>
      </c>
      <c r="B53" s="132" t="s">
        <v>132</v>
      </c>
      <c r="C53" s="133"/>
      <c r="D53" s="114" t="s">
        <v>121</v>
      </c>
      <c r="E53" s="116">
        <v>0.9</v>
      </c>
      <c r="F53" s="117">
        <v>1</v>
      </c>
      <c r="G53" s="114">
        <v>1</v>
      </c>
      <c r="H53" s="130">
        <f t="shared" si="0"/>
        <v>1</v>
      </c>
      <c r="I53" s="119">
        <f t="shared" si="3"/>
        <v>0</v>
      </c>
      <c r="J53" s="119">
        <f t="shared" si="2"/>
        <v>0</v>
      </c>
      <c r="K53" s="131"/>
    </row>
    <row r="54" spans="1:11" s="68" customFormat="1" ht="22.2" customHeight="1" x14ac:dyDescent="0.25">
      <c r="A54" s="114">
        <v>12</v>
      </c>
      <c r="B54" s="132" t="s">
        <v>133</v>
      </c>
      <c r="C54" s="133"/>
      <c r="D54" s="114" t="s">
        <v>121</v>
      </c>
      <c r="E54" s="116">
        <v>1</v>
      </c>
      <c r="F54" s="117">
        <v>1</v>
      </c>
      <c r="G54" s="114">
        <v>1</v>
      </c>
      <c r="H54" s="130">
        <f t="shared" si="0"/>
        <v>1</v>
      </c>
      <c r="I54" s="119">
        <f t="shared" si="3"/>
        <v>0</v>
      </c>
      <c r="J54" s="119">
        <f t="shared" si="2"/>
        <v>0</v>
      </c>
      <c r="K54" s="131"/>
    </row>
    <row r="55" spans="1:11" s="68" customFormat="1" ht="22.2" customHeight="1" x14ac:dyDescent="0.25">
      <c r="A55" s="114">
        <v>13</v>
      </c>
      <c r="B55" s="132" t="s">
        <v>134</v>
      </c>
      <c r="C55" s="133"/>
      <c r="D55" s="114" t="s">
        <v>121</v>
      </c>
      <c r="E55" s="116">
        <v>1.2</v>
      </c>
      <c r="F55" s="117">
        <v>1</v>
      </c>
      <c r="G55" s="114">
        <v>1</v>
      </c>
      <c r="H55" s="130">
        <f t="shared" si="0"/>
        <v>1</v>
      </c>
      <c r="I55" s="119">
        <f t="shared" si="3"/>
        <v>0</v>
      </c>
      <c r="J55" s="119">
        <f t="shared" si="2"/>
        <v>0</v>
      </c>
      <c r="K55" s="131"/>
    </row>
    <row r="56" spans="1:11" s="68" customFormat="1" ht="22.2" customHeight="1" x14ac:dyDescent="0.25">
      <c r="A56" s="105" t="s">
        <v>135</v>
      </c>
      <c r="B56" s="109" t="s">
        <v>136</v>
      </c>
      <c r="C56" s="109"/>
      <c r="D56" s="109"/>
      <c r="E56" s="109"/>
      <c r="F56" s="109"/>
      <c r="G56" s="109"/>
      <c r="H56" s="109"/>
      <c r="I56" s="109"/>
      <c r="J56" s="134">
        <f>SUM(J9:J55)</f>
        <v>2045070</v>
      </c>
      <c r="K56" s="131"/>
    </row>
    <row r="57" spans="1:11" s="68" customFormat="1" ht="22.2" customHeight="1" x14ac:dyDescent="0.25">
      <c r="A57" s="105" t="s">
        <v>137</v>
      </c>
      <c r="B57" s="109" t="s">
        <v>138</v>
      </c>
      <c r="C57" s="109"/>
      <c r="D57" s="109"/>
      <c r="E57" s="109"/>
      <c r="F57" s="109"/>
      <c r="G57" s="109"/>
      <c r="H57" s="109"/>
      <c r="I57" s="109"/>
      <c r="J57" s="135"/>
      <c r="K57" s="131"/>
    </row>
    <row r="58" spans="1:11" s="68" customFormat="1" ht="22.2" customHeight="1" x14ac:dyDescent="0.25">
      <c r="A58" s="114">
        <v>1</v>
      </c>
      <c r="B58" s="121" t="s">
        <v>139</v>
      </c>
      <c r="C58" s="121"/>
      <c r="D58" s="136" t="s">
        <v>140</v>
      </c>
      <c r="E58" s="116"/>
      <c r="F58" s="117"/>
      <c r="G58" s="114"/>
      <c r="H58" s="137"/>
      <c r="I58" s="138"/>
      <c r="J58" s="139">
        <f>H58*G58</f>
        <v>0</v>
      </c>
      <c r="K58" s="131"/>
    </row>
    <row r="59" spans="1:11" s="68" customFormat="1" ht="22.2" customHeight="1" x14ac:dyDescent="0.25">
      <c r="A59" s="105" t="s">
        <v>141</v>
      </c>
      <c r="B59" s="125" t="s">
        <v>142</v>
      </c>
      <c r="C59" s="126"/>
      <c r="D59" s="126"/>
      <c r="E59" s="126"/>
      <c r="F59" s="126"/>
      <c r="G59" s="126"/>
      <c r="H59" s="126"/>
      <c r="I59" s="127"/>
      <c r="J59" s="134">
        <f>J56+J58</f>
        <v>2045070</v>
      </c>
      <c r="K59" s="131"/>
    </row>
    <row r="60" spans="1:11" s="68" customFormat="1" ht="22.2" customHeight="1" x14ac:dyDescent="0.25">
      <c r="A60" s="140" t="s">
        <v>143</v>
      </c>
      <c r="B60" s="140"/>
      <c r="C60" s="141" t="str">
        <f>$X$7</f>
        <v>Hai triệu, bốn mươi lăm ngàn, bảy mươi đồng ./.</v>
      </c>
      <c r="D60" s="141"/>
      <c r="E60" s="141"/>
      <c r="F60" s="142"/>
      <c r="G60" s="141"/>
      <c r="H60" s="141"/>
      <c r="I60" s="141"/>
      <c r="J60" s="143"/>
      <c r="K60" s="131"/>
    </row>
    <row r="61" spans="1:11" s="68" customFormat="1" ht="22.2" customHeight="1" x14ac:dyDescent="0.25">
      <c r="A61" s="144" t="s">
        <v>144</v>
      </c>
      <c r="B61" s="144"/>
      <c r="E61" s="145"/>
      <c r="F61" s="146"/>
      <c r="H61" s="147"/>
      <c r="I61" s="148"/>
      <c r="J61" s="149">
        <f>J59</f>
        <v>2045070</v>
      </c>
      <c r="K61" s="131"/>
    </row>
    <row r="62" spans="1:11" s="151" customFormat="1" ht="18" customHeight="1" x14ac:dyDescent="0.25">
      <c r="A62" s="150" t="s">
        <v>145</v>
      </c>
      <c r="E62" s="152"/>
      <c r="F62" s="153"/>
      <c r="H62" s="154"/>
    </row>
    <row r="63" spans="1:11" s="151" customFormat="1" ht="18" customHeight="1" x14ac:dyDescent="0.25">
      <c r="A63" s="151" t="s">
        <v>146</v>
      </c>
      <c r="E63" s="151" t="s">
        <v>147</v>
      </c>
      <c r="F63" s="153"/>
      <c r="H63" s="154"/>
    </row>
    <row r="64" spans="1:11" s="151" customFormat="1" ht="18" customHeight="1" x14ac:dyDescent="0.25">
      <c r="A64" s="151" t="s">
        <v>148</v>
      </c>
      <c r="E64" s="151" t="s">
        <v>149</v>
      </c>
      <c r="F64" s="153"/>
      <c r="H64" s="154"/>
    </row>
    <row r="65" spans="1:17" s="151" customFormat="1" ht="18" customHeight="1" x14ac:dyDescent="0.25">
      <c r="A65" s="151" t="str">
        <f>"6. Giá trên "&amp;K65&amp;" bao gồm vận chuyển."</f>
        <v>6. Giá trên chưa bao gồm vận chuyển.</v>
      </c>
      <c r="E65" s="152"/>
      <c r="F65" s="153"/>
      <c r="H65" s="154"/>
      <c r="K65" s="155" t="s">
        <v>150</v>
      </c>
    </row>
    <row r="66" spans="1:17" s="68" customFormat="1" ht="22.2" customHeight="1" x14ac:dyDescent="0.25">
      <c r="A66" s="156" t="s">
        <v>151</v>
      </c>
      <c r="E66" s="145"/>
      <c r="F66" s="146"/>
      <c r="H66" s="147"/>
      <c r="I66" s="148"/>
      <c r="J66" s="148"/>
      <c r="K66" s="148"/>
    </row>
    <row r="67" spans="1:17" s="68" customFormat="1" ht="22.2" customHeight="1" x14ac:dyDescent="0.25">
      <c r="A67" s="157" t="str">
        <f>"- Lần 1: Bên mua đặt cọc sản xuất tương ứng "&amp;TEXT($K$67,"0.0%")&amp;" giá trị đơn hàng ngay sau khi xác nhận đơn đặt hàng."</f>
        <v>- Lần 1: Bên mua đặt cọc sản xuất tương ứng 50% giá trị đơn hàng ngay sau khi xác nhận đơn đặt hàng.</v>
      </c>
      <c r="B67" s="157"/>
      <c r="C67" s="157"/>
      <c r="D67" s="157"/>
      <c r="E67" s="157"/>
      <c r="F67" s="157"/>
      <c r="G67" s="157"/>
      <c r="H67" s="157"/>
      <c r="I67" s="157"/>
      <c r="J67" s="157"/>
      <c r="K67" s="158">
        <v>0.5</v>
      </c>
    </row>
    <row r="68" spans="1:17" s="68" customFormat="1" ht="22.2" customHeight="1" x14ac:dyDescent="0.25">
      <c r="A68" s="157" t="str">
        <f>"- Lần 2: Thanh toán "&amp;TEXT(100%-$K$67,"0.0%")&amp;" giá trị còn lại và lấy phát sinh (nếu có) trước khi xuất xưởng của bên bán"</f>
        <v>- Lần 2: Thanh toán 50% giá trị còn lại và lấy phát sinh (nếu có) trước khi xuất xưởng của bên bán</v>
      </c>
      <c r="B68" s="157"/>
      <c r="C68" s="157"/>
      <c r="D68" s="157"/>
      <c r="E68" s="157"/>
      <c r="F68" s="157"/>
      <c r="G68" s="157"/>
      <c r="H68" s="157"/>
      <c r="I68" s="157"/>
      <c r="J68" s="157"/>
      <c r="K68" s="148"/>
    </row>
    <row r="69" spans="1:17" s="68" customFormat="1" ht="22.2" customHeight="1" x14ac:dyDescent="0.25">
      <c r="A69" s="156" t="s">
        <v>152</v>
      </c>
      <c r="B69" s="72"/>
      <c r="E69" s="145"/>
      <c r="F69" s="146"/>
      <c r="H69" s="147"/>
      <c r="I69" s="148"/>
      <c r="J69" s="148"/>
      <c r="K69" s="148"/>
    </row>
    <row r="70" spans="1:17" s="68" customFormat="1" ht="22.2" customHeight="1" x14ac:dyDescent="0.25">
      <c r="A70" s="72" t="s">
        <v>153</v>
      </c>
      <c r="E70" s="145"/>
      <c r="F70" s="146"/>
      <c r="H70" s="147"/>
      <c r="I70" s="148"/>
      <c r="J70" s="148"/>
      <c r="K70" s="148"/>
      <c r="L70" s="148"/>
      <c r="M70" s="148"/>
      <c r="N70" s="148"/>
      <c r="O70" s="148"/>
      <c r="P70" s="148"/>
      <c r="Q70" s="148"/>
    </row>
    <row r="71" spans="1:17" s="68" customFormat="1" ht="22.2" customHeight="1" x14ac:dyDescent="0.25">
      <c r="A71" s="72" t="s">
        <v>154</v>
      </c>
      <c r="E71" s="145"/>
      <c r="F71" s="146"/>
      <c r="H71" s="147"/>
      <c r="I71" s="148"/>
      <c r="J71" s="148"/>
      <c r="K71" s="148"/>
      <c r="L71" s="148"/>
      <c r="M71" s="148"/>
      <c r="N71" s="148"/>
      <c r="O71" s="148"/>
      <c r="P71" s="148"/>
      <c r="Q71" s="148"/>
    </row>
    <row r="72" spans="1:17" s="159" customFormat="1" ht="17.399999999999999" customHeight="1" x14ac:dyDescent="0.25">
      <c r="B72" s="160" t="s">
        <v>155</v>
      </c>
      <c r="C72" s="160"/>
      <c r="E72" s="161"/>
      <c r="F72" s="161"/>
      <c r="G72" s="161"/>
      <c r="H72" s="161"/>
      <c r="I72" s="162" t="s">
        <v>156</v>
      </c>
      <c r="J72" s="161"/>
      <c r="K72" s="148"/>
      <c r="L72" s="148"/>
      <c r="M72" s="148"/>
      <c r="N72" s="148"/>
      <c r="O72" s="148"/>
      <c r="P72" s="148"/>
      <c r="Q72" s="148"/>
    </row>
    <row r="73" spans="1:17" s="68" customFormat="1" ht="22.2" customHeight="1" x14ac:dyDescent="0.25">
      <c r="E73" s="145"/>
      <c r="F73" s="146"/>
      <c r="H73" s="147"/>
      <c r="I73" s="148"/>
      <c r="J73" s="148"/>
      <c r="K73" s="148"/>
      <c r="L73" s="148"/>
      <c r="M73" s="148"/>
      <c r="N73" s="148"/>
      <c r="O73" s="148"/>
      <c r="P73" s="148"/>
      <c r="Q73" s="148"/>
    </row>
    <row r="74" spans="1:17" s="68" customFormat="1" ht="22.2" customHeight="1" x14ac:dyDescent="0.25">
      <c r="E74" s="145"/>
      <c r="F74" s="146"/>
      <c r="H74" s="147"/>
      <c r="I74" s="148"/>
      <c r="J74" s="148"/>
      <c r="K74" s="148"/>
      <c r="L74" s="148"/>
      <c r="M74" s="148"/>
      <c r="N74" s="148"/>
      <c r="O74" s="148"/>
      <c r="P74" s="148"/>
      <c r="Q74" s="148"/>
    </row>
    <row r="75" spans="1:17" s="68" customFormat="1" ht="22.2" customHeight="1" x14ac:dyDescent="0.25">
      <c r="E75" s="145"/>
      <c r="F75" s="146"/>
      <c r="H75" s="147"/>
      <c r="I75" s="148"/>
      <c r="J75" s="148"/>
      <c r="K75" s="148"/>
      <c r="L75" s="148"/>
      <c r="M75" s="148"/>
      <c r="N75" s="148"/>
      <c r="O75" s="148"/>
      <c r="P75" s="148"/>
      <c r="Q75" s="148"/>
    </row>
    <row r="76" spans="1:17" s="68" customFormat="1" ht="30" customHeight="1" x14ac:dyDescent="0.25">
      <c r="F76" s="163"/>
      <c r="G76" s="163"/>
      <c r="H76" s="163"/>
      <c r="I76" s="164" t="s">
        <v>59</v>
      </c>
      <c r="J76" s="163"/>
      <c r="K76" s="148"/>
      <c r="L76" s="148"/>
      <c r="M76" s="148"/>
      <c r="N76" s="148"/>
      <c r="O76" s="148"/>
      <c r="P76" s="148"/>
      <c r="Q76" s="148"/>
    </row>
  </sheetData>
  <mergeCells count="61">
    <mergeCell ref="A68:J68"/>
    <mergeCell ref="B58:C58"/>
    <mergeCell ref="H58:I58"/>
    <mergeCell ref="B59:I59"/>
    <mergeCell ref="A60:B60"/>
    <mergeCell ref="A61:B61"/>
    <mergeCell ref="A67:J67"/>
    <mergeCell ref="B52:C52"/>
    <mergeCell ref="B53:C53"/>
    <mergeCell ref="B54:C54"/>
    <mergeCell ref="B55:C55"/>
    <mergeCell ref="B56:I56"/>
    <mergeCell ref="B57:I57"/>
    <mergeCell ref="B46:C46"/>
    <mergeCell ref="B47:C47"/>
    <mergeCell ref="B48:C48"/>
    <mergeCell ref="B49:C49"/>
    <mergeCell ref="B50:C50"/>
    <mergeCell ref="B51:C51"/>
    <mergeCell ref="B40:J40"/>
    <mergeCell ref="B41:C41"/>
    <mergeCell ref="B42:C42"/>
    <mergeCell ref="B43:C43"/>
    <mergeCell ref="B44:C44"/>
    <mergeCell ref="B45:C45"/>
    <mergeCell ref="B34:C34"/>
    <mergeCell ref="B35:C35"/>
    <mergeCell ref="B36:I36"/>
    <mergeCell ref="B37:C37"/>
    <mergeCell ref="B38:C38"/>
    <mergeCell ref="B39:C39"/>
    <mergeCell ref="B28:C28"/>
    <mergeCell ref="B29:C29"/>
    <mergeCell ref="B30:J30"/>
    <mergeCell ref="B31:C31"/>
    <mergeCell ref="B32:C32"/>
    <mergeCell ref="B33:J33"/>
    <mergeCell ref="B22:C22"/>
    <mergeCell ref="B23:C23"/>
    <mergeCell ref="B24:J24"/>
    <mergeCell ref="B25:C25"/>
    <mergeCell ref="B26:C26"/>
    <mergeCell ref="B27:J27"/>
    <mergeCell ref="B16:C16"/>
    <mergeCell ref="B17:C17"/>
    <mergeCell ref="B18:J18"/>
    <mergeCell ref="B19:C19"/>
    <mergeCell ref="B20:C20"/>
    <mergeCell ref="B21:J21"/>
    <mergeCell ref="K10:M10"/>
    <mergeCell ref="B11:C11"/>
    <mergeCell ref="B12:J12"/>
    <mergeCell ref="B13:C13"/>
    <mergeCell ref="B14:C14"/>
    <mergeCell ref="B15:J15"/>
    <mergeCell ref="A4:J4"/>
    <mergeCell ref="C6:G6"/>
    <mergeCell ref="C7:G7"/>
    <mergeCell ref="C8:G8"/>
    <mergeCell ref="C9:G9"/>
    <mergeCell ref="A10:J10"/>
  </mergeCells>
  <dataValidations count="1">
    <dataValidation type="list" allowBlank="1" showInputMessage="1" showErrorMessage="1" sqref="K65" xr:uid="{595A828A-15FE-4471-8092-12F4A29DACCC}">
      <formula1>"đã, chưa"</formula1>
    </dataValidation>
  </dataValidations>
  <hyperlinks>
    <hyperlink ref="H3" r:id="rId1" xr:uid="{D8843533-1719-4203-BB64-A984A2712915}"/>
    <hyperlink ref="D3" r:id="rId2" tooltip="www.panelphuson.vn" xr:uid="{5249FE51-DBAB-4D64-A37D-8D0B772ADC10}"/>
  </hyperlinks>
  <pageMargins left="0.47244094488188981" right="0.35433070866141736" top="0.51181102362204722" bottom="0.43307086614173229" header="0.31496062992125984" footer="0.15748031496062992"/>
  <pageSetup paperSize="9" scale="92" orientation="portrait" r:id="rId3"/>
  <headerFooter>
    <oddFooter>&amp;R&amp;P</oddFooter>
  </headerFooter>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9CFA7-0CDF-4B0A-8936-E5F57D83DAA5}">
  <sheetPr>
    <tabColor theme="9" tint="-0.249977111117893"/>
  </sheetPr>
  <dimension ref="A1:AI77"/>
  <sheetViews>
    <sheetView tabSelected="1" zoomScaleNormal="100" workbookViewId="0">
      <selection activeCell="C5" sqref="C5:H5"/>
    </sheetView>
  </sheetViews>
  <sheetFormatPr defaultColWidth="8.88671875" defaultRowHeight="22.2" customHeight="1" x14ac:dyDescent="0.25"/>
  <cols>
    <col min="1" max="1" width="4.5546875" style="58" customWidth="1"/>
    <col min="2" max="2" width="10.109375" style="58" customWidth="1"/>
    <col min="3" max="3" width="26" style="58" customWidth="1"/>
    <col min="4" max="4" width="6.6640625" style="58" customWidth="1"/>
    <col min="5" max="5" width="8" style="60" customWidth="1"/>
    <col min="6" max="6" width="8" style="61" customWidth="1"/>
    <col min="7" max="7" width="7.33203125" style="58" customWidth="1"/>
    <col min="8" max="8" width="7.44140625" style="62" customWidth="1"/>
    <col min="9" max="9" width="10.6640625" style="63" customWidth="1"/>
    <col min="10" max="10" width="13.6640625" style="63" customWidth="1"/>
    <col min="11" max="11" width="13.33203125" style="58" customWidth="1"/>
    <col min="12" max="12" width="12.5546875" style="58" customWidth="1"/>
    <col min="13" max="21" width="10.6640625" style="58" customWidth="1"/>
    <col min="22" max="22" width="15.6640625" style="58" customWidth="1"/>
    <col min="23" max="23" width="14.44140625" style="58" customWidth="1"/>
    <col min="24" max="57" width="10.6640625" style="58" customWidth="1"/>
    <col min="58" max="16384" width="8.88671875" style="58"/>
  </cols>
  <sheetData>
    <row r="1" spans="1:35" ht="22.2" customHeight="1" x14ac:dyDescent="0.2">
      <c r="C1" s="59" t="s">
        <v>74</v>
      </c>
      <c r="J1" s="65" t="str">
        <f>$L$1&amp;"."&amp;$L$2</f>
        <v>1.2</v>
      </c>
      <c r="K1" s="165" t="s">
        <v>75</v>
      </c>
      <c r="L1" s="67">
        <f>'2.Báo giá'!$M$1</f>
        <v>1</v>
      </c>
      <c r="V1" s="69">
        <f>$J$59</f>
        <v>989399</v>
      </c>
      <c r="W1" s="70" t="str">
        <f>RIGHT("000000000000"&amp;ROUND(V1,0),12)</f>
        <v>000000989399</v>
      </c>
      <c r="X1" s="70">
        <v>1</v>
      </c>
      <c r="Y1" s="70">
        <v>2</v>
      </c>
      <c r="Z1" s="70">
        <v>3</v>
      </c>
      <c r="AA1" s="70">
        <v>4</v>
      </c>
      <c r="AB1" s="70">
        <v>5</v>
      </c>
      <c r="AC1" s="70">
        <v>6</v>
      </c>
      <c r="AD1" s="70">
        <v>7</v>
      </c>
      <c r="AE1" s="70">
        <v>8</v>
      </c>
      <c r="AF1" s="70">
        <v>9</v>
      </c>
      <c r="AG1" s="70">
        <v>10</v>
      </c>
      <c r="AH1" s="70">
        <v>11</v>
      </c>
      <c r="AI1" s="70">
        <v>12</v>
      </c>
    </row>
    <row r="2" spans="1:35" s="71" customFormat="1" ht="22.2" customHeight="1" x14ac:dyDescent="0.2">
      <c r="C2" s="72" t="s">
        <v>76</v>
      </c>
      <c r="D2" s="72"/>
      <c r="E2" s="72"/>
      <c r="F2" s="72"/>
      <c r="G2" s="72"/>
      <c r="H2" s="72"/>
      <c r="K2" s="165" t="s">
        <v>77</v>
      </c>
      <c r="L2" s="67">
        <f>'2.Báo giá'!$M$2</f>
        <v>2</v>
      </c>
      <c r="V2" s="70"/>
      <c r="W2" s="70"/>
      <c r="X2" s="70">
        <f>VALUE(MID(W1,X1,1))</f>
        <v>0</v>
      </c>
      <c r="Y2" s="70">
        <f>VALUE(MID(W1,Y1,1))</f>
        <v>0</v>
      </c>
      <c r="Z2" s="70">
        <f>VALUE(MID(W1,Z1,1))</f>
        <v>0</v>
      </c>
      <c r="AA2" s="70">
        <f>VALUE(MID(W1,AA1,1))</f>
        <v>0</v>
      </c>
      <c r="AB2" s="70">
        <f>VALUE(MID(W1,AB1,1))</f>
        <v>0</v>
      </c>
      <c r="AC2" s="70">
        <f>VALUE(MID(W1,AC1,1))</f>
        <v>0</v>
      </c>
      <c r="AD2" s="70">
        <f>VALUE(MID(W1,AD1,1))</f>
        <v>9</v>
      </c>
      <c r="AE2" s="70">
        <f>VALUE(MID(W1,AE1,1))</f>
        <v>8</v>
      </c>
      <c r="AF2" s="70">
        <f>VALUE(MID(W1,AF1,1))</f>
        <v>9</v>
      </c>
      <c r="AG2" s="70">
        <f>VALUE(MID(W1,AG1,1))</f>
        <v>3</v>
      </c>
      <c r="AH2" s="70">
        <f>VALUE(MID(W1,AH1,1))</f>
        <v>9</v>
      </c>
      <c r="AI2" s="70">
        <f>VALUE(MID(W1,AI1,1))</f>
        <v>9</v>
      </c>
    </row>
    <row r="3" spans="1:35" s="71" customFormat="1" ht="22.2" customHeight="1" x14ac:dyDescent="0.25">
      <c r="C3" s="72" t="s">
        <v>78</v>
      </c>
      <c r="D3" s="74"/>
      <c r="E3" s="74" t="s">
        <v>79</v>
      </c>
      <c r="F3" s="74"/>
      <c r="G3" s="74"/>
      <c r="H3" s="74" t="s">
        <v>80</v>
      </c>
      <c r="I3" s="76"/>
      <c r="J3"/>
      <c r="K3" s="165" t="s">
        <v>81</v>
      </c>
      <c r="L3" s="77">
        <f ca="1">NOW()</f>
        <v>46197.445022453707</v>
      </c>
      <c r="M3" s="58"/>
      <c r="N3" s="58"/>
      <c r="O3" s="58"/>
      <c r="P3" s="58"/>
      <c r="Q3" s="58"/>
      <c r="R3" s="58"/>
      <c r="S3" s="58"/>
      <c r="T3" s="58"/>
      <c r="V3" s="70"/>
      <c r="W3" s="70"/>
      <c r="X3" s="70">
        <f>SUM(X2)</f>
        <v>0</v>
      </c>
      <c r="Y3" s="70">
        <f>SUM(X2:Y2)</f>
        <v>0</v>
      </c>
      <c r="Z3" s="70">
        <f>SUM(X2:Z2)</f>
        <v>0</v>
      </c>
      <c r="AA3" s="70">
        <f>SUM(AA2)</f>
        <v>0</v>
      </c>
      <c r="AB3" s="70">
        <f>SUM(AA2:AB2)</f>
        <v>0</v>
      </c>
      <c r="AC3" s="70">
        <f>SUM(AA2:AC2)</f>
        <v>0</v>
      </c>
      <c r="AD3" s="70">
        <f>SUM(AD2)</f>
        <v>9</v>
      </c>
      <c r="AE3" s="70">
        <f>SUM(AD2:AE2)</f>
        <v>17</v>
      </c>
      <c r="AF3" s="70">
        <f>SUM(AD2:AF2)</f>
        <v>26</v>
      </c>
      <c r="AG3" s="70">
        <f>SUM(AG2)</f>
        <v>3</v>
      </c>
      <c r="AH3" s="70">
        <f>SUM(AG2:AH2)</f>
        <v>12</v>
      </c>
      <c r="AI3" s="70">
        <f>SUM(AG2:AI2)</f>
        <v>21</v>
      </c>
    </row>
    <row r="4" spans="1:35" s="68" customFormat="1" ht="22.2" customHeight="1" x14ac:dyDescent="0.25">
      <c r="C4" s="166" t="s">
        <v>157</v>
      </c>
      <c r="D4" s="167">
        <v>6580</v>
      </c>
      <c r="E4" s="168" t="s">
        <v>158</v>
      </c>
      <c r="F4" s="169"/>
      <c r="G4" s="170"/>
      <c r="H4" s="171" t="s">
        <v>159</v>
      </c>
      <c r="I4" s="172">
        <f ca="1">NOW()</f>
        <v>46197.445022453707</v>
      </c>
      <c r="J4" s="172"/>
      <c r="M4" s="68">
        <v>2</v>
      </c>
      <c r="V4" s="173"/>
      <c r="W4" s="173"/>
      <c r="X4" s="173" t="str">
        <f>IF(X2=0,"",CHOOSE(X2,"một","hai","ba","bốn","năm","sáu","bảy","tám","chín"))</f>
        <v/>
      </c>
      <c r="Y4" s="173" t="str">
        <f>IF(Y2=0,IF(AND(X2&lt;&gt;0,Z2&lt;&gt;0),"lẻ",""),CHOOSE(Y2,"mười","hai","ba","bốn","năm","sáu","bảy","tám","chín"))</f>
        <v/>
      </c>
      <c r="Z4" s="173" t="str">
        <f>IF(Z2=0,"",CHOOSE(Z2,IF(Y2&gt;1,"mốt","một"),"hai","ba","bốn",IF(Y2=0,"năm","lăm"),"sáu","bảy","tám","chín"))</f>
        <v/>
      </c>
      <c r="AA4" s="173" t="str">
        <f>IF(AA2=0,"",CHOOSE(AA2,"một","hai","ba","bốn","năm","sáu","bảy","tám","chín"))</f>
        <v/>
      </c>
      <c r="AB4" s="173" t="str">
        <f>IF(AB2=0,IF(AND(AA2&lt;&gt;0,AC2&lt;&gt;0),"lẻ",""),CHOOSE(AB2,"mười","hai","ba","bốn","năm","sáu","bảy","tám","chín"))</f>
        <v/>
      </c>
      <c r="AC4" s="173" t="str">
        <f>IF(AC2=0,"",CHOOSE(AC2,IF(AB2&gt;1,"mốt","một"),"hai","ba","bốn",IF(AB2=0,"năm","lăm"),"sáu","bảy","tám","chín"))</f>
        <v/>
      </c>
      <c r="AD4" s="173" t="str">
        <f>IF(AD2=0,"",CHOOSE(AD2,"một","hai","ba","bốn","năm","sáu","bảy","tám","chín"))</f>
        <v>chín</v>
      </c>
      <c r="AE4" s="173" t="str">
        <f>IF(AE2=0,IF(AND(AD2&lt;&gt;0,AF2&lt;&gt;0),"lẻ",""),CHOOSE(AE2,"mười","hai","ba","bốn","năm","sáu","bảy","tám","chín"))</f>
        <v>tám</v>
      </c>
      <c r="AF4" s="173" t="str">
        <f>IF(AF2=0,"",CHOOSE(AF2,IF(AE2&gt;1,"mốt","một"),"hai","ba","bốn",IF(AE2=0,"năm","lăm"),"sáu","bảy","tám","chín"))</f>
        <v>chín</v>
      </c>
      <c r="AG4" s="173" t="str">
        <f>IF(AG2=0,"",CHOOSE(AG2,"một","hai","ba","bốn","năm","sáu","bảy","tám","chín"))</f>
        <v>ba</v>
      </c>
      <c r="AH4" s="173" t="str">
        <f>IF(AH2=0,IF(AND(AG2&lt;&gt;0,AI2&lt;&gt;0),"lẻ",""),CHOOSE(AH2,"mười","hai","ba","bốn","năm","sáu","bảy","tám","chín"))</f>
        <v>chín</v>
      </c>
      <c r="AI4" s="173" t="str">
        <f>IF(AI2=0,"",CHOOSE(AI2,IF(AH2&gt;1,"mốt","một"),"hai","ba","bốn",IF(AH2=0,"năm","lăm"),"sáu","bảy","tám","chín"))</f>
        <v>chín</v>
      </c>
    </row>
    <row r="5" spans="1:35" ht="29.4" customHeight="1" x14ac:dyDescent="0.2">
      <c r="A5" s="174"/>
      <c r="B5" s="174"/>
      <c r="C5" s="175" t="s">
        <v>160</v>
      </c>
      <c r="D5" s="175"/>
      <c r="E5" s="175"/>
      <c r="F5" s="175"/>
      <c r="G5" s="175"/>
      <c r="H5" s="175"/>
      <c r="I5" s="174"/>
      <c r="V5" s="176"/>
      <c r="W5" s="176"/>
      <c r="X5" s="176" t="str">
        <f>IF(X2=0,"","trăm")</f>
        <v/>
      </c>
      <c r="Y5" s="176" t="str">
        <f>IF(Y2=0,"",IF(Y2=1,"","mươi"))</f>
        <v/>
      </c>
      <c r="Z5" s="176" t="str">
        <f>IF(AND(Z2=0,Z3=0),"","tỷ,")</f>
        <v/>
      </c>
      <c r="AA5" s="176" t="str">
        <f>IF(AA2=0,"","trăm")</f>
        <v/>
      </c>
      <c r="AB5" s="176" t="str">
        <f>IF(AB2=0,"",IF(AB2=1,"","mươi"))</f>
        <v/>
      </c>
      <c r="AC5" s="176" t="str">
        <f>IF(AND(AC2=0,AC3=0),"","triệu,")</f>
        <v/>
      </c>
      <c r="AD5" s="176" t="str">
        <f>IF(AD2=0,"","trăm")</f>
        <v>trăm</v>
      </c>
      <c r="AE5" s="176" t="str">
        <f>IF(AE2=0,"",IF(AE2=1,"","mươi"))</f>
        <v>mươi</v>
      </c>
      <c r="AF5" s="176" t="str">
        <f>IF(AND(AF2=0,AF3=0),"","ngàn,")</f>
        <v>ngàn,</v>
      </c>
      <c r="AG5" s="176" t="str">
        <f>IF(AG2=0,"","trăm")</f>
        <v>trăm</v>
      </c>
      <c r="AH5" s="176" t="str">
        <f>IF(AH2=0,"",IF(AH2=1,"","mươi"))</f>
        <v>mươi</v>
      </c>
      <c r="AI5" s="176"/>
    </row>
    <row r="6" spans="1:35" s="68" customFormat="1" ht="22.2" customHeight="1" x14ac:dyDescent="0.25">
      <c r="A6" s="177" t="s">
        <v>161</v>
      </c>
      <c r="C6" s="84" t="str">
        <f>VLOOKUP($L$1,'1.KH'!$B$2:$X$12,3,0)</f>
        <v>CÔNG TY TNHH SYPANEL VINA</v>
      </c>
      <c r="D6" s="84"/>
      <c r="E6" s="84"/>
      <c r="F6" s="84"/>
      <c r="G6" s="84"/>
      <c r="H6" s="84"/>
      <c r="I6" s="178" t="s">
        <v>162</v>
      </c>
      <c r="J6" s="148"/>
      <c r="V6" s="179"/>
      <c r="W6" s="180" t="str">
        <f>UPPER(LEFT(TRIM(IF(V1=0,"không đồng.",X4&amp;" "&amp;X5&amp;" "&amp;Y4&amp;" "&amp;Y5&amp;" "&amp;Z4&amp;" "&amp;Z5&amp;" "&amp;AA4&amp;" "&amp;AA5&amp;" "&amp;AB4&amp;" "&amp;AB5&amp;" "&amp;AC4&amp;" "&amp;AC5&amp;" "&amp;AD4&amp;" "&amp;AD5&amp;" "&amp;AE4&amp;" "&amp;AE5&amp;" "&amp;AF4&amp;" "&amp;AF5&amp;" "&amp;AG4&amp;" "&amp;AG5&amp;" "&amp;AH4&amp;" "&amp;AH5&amp;" "&amp;AI4&amp;" "&amp;AI5)),1))&amp;RIGHT(TRIM(IF(V1=0,"không đồng.",X4&amp;" "&amp;X5&amp;" "&amp;Y4&amp;" "&amp;Y5&amp;" "&amp;Z4&amp;" "&amp;Z5&amp;" "&amp;AA4&amp;" "&amp;AA5&amp;" "&amp;AB4&amp;" "&amp;AB5&amp;" "&amp;AC4&amp;" "&amp;AC5&amp;" "&amp;AD4&amp;" "&amp;AD5&amp;" "&amp;AE4&amp;" "&amp;AE5&amp;" "&amp;AF4&amp;" "&amp;AF5&amp;" "&amp;AG4&amp;" "&amp;AG5&amp;" "&amp;AH4&amp;" "&amp;AH5&amp;" "&amp;AI4&amp;" "&amp;AI5)),LEN(TRIM(IF(V1=0,"không đồng.",X4&amp;" "&amp;X5&amp;" "&amp;Y4&amp;" "&amp;Y5&amp;" "&amp;Z4&amp;" "&amp;Z5&amp;" "&amp;AA4&amp;" "&amp;AA5&amp;" "&amp;AB4&amp;" "&amp;AB5&amp;" "&amp;AC4&amp;" "&amp;AC5&amp;" "&amp;AD4&amp;" "&amp;AD5&amp;" "&amp;AE4&amp;" "&amp;AE5&amp;" "&amp;AF4&amp;" "&amp;AF5&amp;" "&amp;AG4&amp;" "&amp;AG5&amp;" "&amp;AH4&amp;" "&amp;AH5&amp;" "&amp;AI4&amp;" "&amp;AI5)))-1)</f>
        <v>Chín trăm tám mươi chín ngàn, ba trăm chín mươi chín</v>
      </c>
      <c r="X6" s="179"/>
      <c r="Y6" s="179"/>
      <c r="Z6" s="179"/>
      <c r="AA6" s="179"/>
      <c r="AB6" s="179"/>
      <c r="AC6" s="179"/>
      <c r="AD6" s="179"/>
      <c r="AE6" s="179"/>
      <c r="AF6" s="179"/>
      <c r="AG6" s="179"/>
      <c r="AH6" s="179"/>
      <c r="AI6" s="179"/>
    </row>
    <row r="7" spans="1:35" s="68" customFormat="1" ht="22.2" customHeight="1" x14ac:dyDescent="0.25">
      <c r="A7" s="177" t="s">
        <v>163</v>
      </c>
      <c r="C7" s="181" t="str">
        <f xml:space="preserve"> VLOOKUP($J$1,'1.KH'!$C$2:$X$12,5,0)</f>
        <v>Mr Cường</v>
      </c>
      <c r="D7" s="182" t="s">
        <v>90</v>
      </c>
      <c r="E7" s="182"/>
      <c r="F7" s="183" t="str">
        <f xml:space="preserve"> VLOOKUP($J$1,'1.KH'!$C$2:$X$12,6,0)</f>
        <v>0902804007</v>
      </c>
      <c r="I7" s="178" t="s">
        <v>164</v>
      </c>
      <c r="J7" s="148"/>
      <c r="K7" s="50"/>
      <c r="V7" s="179"/>
      <c r="W7" s="184" t="str">
        <f>""&amp;$W$6&amp;" đồng ./."</f>
        <v>Chín trăm tám mươi chín ngàn, ba trăm chín mươi chín đồng ./.</v>
      </c>
      <c r="X7" s="179"/>
      <c r="Y7" s="179"/>
      <c r="Z7" s="179"/>
      <c r="AA7" s="179"/>
      <c r="AB7" s="179"/>
      <c r="AC7" s="179"/>
      <c r="AD7" s="179"/>
      <c r="AE7" s="179"/>
      <c r="AF7" s="179"/>
      <c r="AG7" s="179"/>
      <c r="AH7" s="179"/>
      <c r="AI7" s="179"/>
    </row>
    <row r="8" spans="1:35" s="68" customFormat="1" ht="27.6" customHeight="1" x14ac:dyDescent="0.25">
      <c r="A8" s="177" t="s">
        <v>165</v>
      </c>
      <c r="E8" s="145"/>
      <c r="F8" s="146"/>
      <c r="H8" s="147"/>
      <c r="I8" s="148"/>
      <c r="J8" s="148"/>
    </row>
    <row r="9" spans="1:35" s="68" customFormat="1" ht="43.95" customHeight="1" x14ac:dyDescent="0.25">
      <c r="A9" s="97" t="s">
        <v>93</v>
      </c>
      <c r="B9" s="98" t="s">
        <v>94</v>
      </c>
      <c r="C9" s="98"/>
      <c r="D9" s="99" t="s">
        <v>95</v>
      </c>
      <c r="E9" s="100" t="s">
        <v>96</v>
      </c>
      <c r="F9" s="101" t="s">
        <v>97</v>
      </c>
      <c r="G9" s="99" t="s">
        <v>98</v>
      </c>
      <c r="H9" s="102" t="s">
        <v>99</v>
      </c>
      <c r="I9" s="103" t="s">
        <v>100</v>
      </c>
      <c r="J9" s="103" t="s">
        <v>101</v>
      </c>
      <c r="K9" s="185" t="s">
        <v>166</v>
      </c>
      <c r="L9" s="185"/>
      <c r="M9" s="185"/>
    </row>
    <row r="10" spans="1:35" s="68" customFormat="1" ht="108.6" customHeight="1" x14ac:dyDescent="0.25">
      <c r="A10" s="105"/>
      <c r="B10" s="106" t="s">
        <v>102</v>
      </c>
      <c r="C10" s="107"/>
      <c r="D10" s="107"/>
      <c r="E10" s="107"/>
      <c r="F10" s="107"/>
      <c r="G10" s="107"/>
      <c r="H10" s="107"/>
      <c r="I10" s="107"/>
      <c r="J10" s="108"/>
      <c r="K10" s="104"/>
    </row>
    <row r="11" spans="1:35" s="68" customFormat="1" ht="22.2" customHeight="1" x14ac:dyDescent="0.25">
      <c r="A11" s="105"/>
      <c r="B11" s="109"/>
      <c r="C11" s="109"/>
      <c r="D11" s="105"/>
      <c r="E11" s="110"/>
      <c r="F11" s="111"/>
      <c r="G11" s="105">
        <f>SUM(G12:G12)</f>
        <v>1</v>
      </c>
      <c r="H11" s="112">
        <f>SUM(H12:H12)</f>
        <v>1.1299999999999999</v>
      </c>
      <c r="I11" s="113">
        <v>409000</v>
      </c>
      <c r="J11" s="113">
        <f>I11*H11</f>
        <v>462169.99999999994</v>
      </c>
      <c r="K11" s="104"/>
    </row>
    <row r="12" spans="1:35" s="68" customFormat="1" ht="22.2" customHeight="1" x14ac:dyDescent="0.25">
      <c r="A12" s="114">
        <v>1</v>
      </c>
      <c r="B12" s="115" t="s">
        <v>103</v>
      </c>
      <c r="C12" s="115"/>
      <c r="D12" s="114" t="s">
        <v>104</v>
      </c>
      <c r="E12" s="116">
        <v>1.1299999999999999</v>
      </c>
      <c r="F12" s="117">
        <v>1</v>
      </c>
      <c r="G12" s="114">
        <v>1</v>
      </c>
      <c r="H12" s="118">
        <f>E12*F12*G12</f>
        <v>1.1299999999999999</v>
      </c>
      <c r="I12" s="119"/>
      <c r="J12" s="119"/>
      <c r="K12" s="104"/>
    </row>
    <row r="13" spans="1:35" s="68" customFormat="1" ht="108.6" customHeight="1" x14ac:dyDescent="0.25">
      <c r="A13" s="105"/>
      <c r="B13" s="106" t="s">
        <v>105</v>
      </c>
      <c r="C13" s="107"/>
      <c r="D13" s="107"/>
      <c r="E13" s="107"/>
      <c r="F13" s="107"/>
      <c r="G13" s="107"/>
      <c r="H13" s="107"/>
      <c r="I13" s="107"/>
      <c r="J13" s="108"/>
    </row>
    <row r="14" spans="1:35" s="68" customFormat="1" ht="22.2" customHeight="1" x14ac:dyDescent="0.25">
      <c r="A14" s="105"/>
      <c r="B14" s="109"/>
      <c r="C14" s="109"/>
      <c r="D14" s="105"/>
      <c r="E14" s="110"/>
      <c r="F14" s="111"/>
      <c r="G14" s="105">
        <f>SUM(G15:G15)</f>
        <v>1</v>
      </c>
      <c r="H14" s="112">
        <f>SUM(H15:H15)</f>
        <v>1</v>
      </c>
      <c r="I14" s="113">
        <v>415000</v>
      </c>
      <c r="J14" s="113">
        <f>I14*H14</f>
        <v>415000</v>
      </c>
    </row>
    <row r="15" spans="1:35" s="68" customFormat="1" ht="22.2" customHeight="1" x14ac:dyDescent="0.25">
      <c r="A15" s="114">
        <v>1</v>
      </c>
      <c r="B15" s="115" t="s">
        <v>103</v>
      </c>
      <c r="C15" s="115"/>
      <c r="D15" s="114" t="s">
        <v>104</v>
      </c>
      <c r="E15" s="116">
        <v>1</v>
      </c>
      <c r="F15" s="117">
        <v>1</v>
      </c>
      <c r="G15" s="114">
        <v>1</v>
      </c>
      <c r="H15" s="118">
        <f>E15*F15*G15</f>
        <v>1</v>
      </c>
      <c r="I15" s="119"/>
      <c r="J15" s="119"/>
    </row>
    <row r="16" spans="1:35" s="68" customFormat="1" ht="108" customHeight="1" x14ac:dyDescent="0.25">
      <c r="A16" s="105"/>
      <c r="B16" s="106" t="s">
        <v>106</v>
      </c>
      <c r="C16" s="107"/>
      <c r="D16" s="107"/>
      <c r="E16" s="107"/>
      <c r="F16" s="107"/>
      <c r="G16" s="107"/>
      <c r="H16" s="107"/>
      <c r="I16" s="107"/>
      <c r="J16" s="108"/>
    </row>
    <row r="17" spans="1:10" s="68" customFormat="1" ht="22.2" customHeight="1" x14ac:dyDescent="0.25">
      <c r="A17" s="105"/>
      <c r="B17" s="109"/>
      <c r="C17" s="109"/>
      <c r="D17" s="105"/>
      <c r="E17" s="110"/>
      <c r="F17" s="111"/>
      <c r="G17" s="105">
        <f>SUM(G18:G18)</f>
        <v>1</v>
      </c>
      <c r="H17" s="112">
        <f>SUM(H18:H18)</f>
        <v>1</v>
      </c>
      <c r="I17" s="113">
        <v>232000</v>
      </c>
      <c r="J17" s="113">
        <f>I17*H17</f>
        <v>232000</v>
      </c>
    </row>
    <row r="18" spans="1:10" s="68" customFormat="1" ht="22.2" customHeight="1" x14ac:dyDescent="0.25">
      <c r="A18" s="114">
        <v>1</v>
      </c>
      <c r="B18" s="115" t="s">
        <v>103</v>
      </c>
      <c r="C18" s="115"/>
      <c r="D18" s="114" t="s">
        <v>104</v>
      </c>
      <c r="E18" s="116">
        <v>1</v>
      </c>
      <c r="F18" s="117">
        <v>1</v>
      </c>
      <c r="G18" s="114">
        <v>1</v>
      </c>
      <c r="H18" s="118">
        <f>E18*F18*G18</f>
        <v>1</v>
      </c>
      <c r="I18" s="119"/>
      <c r="J18" s="119"/>
    </row>
    <row r="19" spans="1:10" s="68" customFormat="1" ht="108.6" customHeight="1" x14ac:dyDescent="0.25">
      <c r="A19" s="105"/>
      <c r="B19" s="106" t="s">
        <v>107</v>
      </c>
      <c r="C19" s="107"/>
      <c r="D19" s="107"/>
      <c r="E19" s="107"/>
      <c r="F19" s="107"/>
      <c r="G19" s="107"/>
      <c r="H19" s="107"/>
      <c r="I19" s="107"/>
      <c r="J19" s="108"/>
    </row>
    <row r="20" spans="1:10" s="68" customFormat="1" ht="22.2" customHeight="1" x14ac:dyDescent="0.25">
      <c r="A20" s="105"/>
      <c r="B20" s="109"/>
      <c r="C20" s="109"/>
      <c r="D20" s="105"/>
      <c r="E20" s="110"/>
      <c r="F20" s="111"/>
      <c r="G20" s="105">
        <f>SUM(G21:G21)</f>
        <v>1</v>
      </c>
      <c r="H20" s="112">
        <f>SUM(H21:H21)</f>
        <v>1</v>
      </c>
      <c r="I20" s="113">
        <v>243000</v>
      </c>
      <c r="J20" s="113">
        <f>I20*H20</f>
        <v>243000</v>
      </c>
    </row>
    <row r="21" spans="1:10" s="68" customFormat="1" ht="22.2" customHeight="1" x14ac:dyDescent="0.25">
      <c r="A21" s="114">
        <v>1</v>
      </c>
      <c r="B21" s="121" t="s">
        <v>103</v>
      </c>
      <c r="C21" s="121"/>
      <c r="D21" s="114" t="s">
        <v>104</v>
      </c>
      <c r="E21" s="116">
        <v>1</v>
      </c>
      <c r="F21" s="117">
        <v>1</v>
      </c>
      <c r="G21" s="114">
        <v>1</v>
      </c>
      <c r="H21" s="118">
        <f>E21*F21*G21</f>
        <v>1</v>
      </c>
      <c r="I21" s="130">
        <f>2.3+2.13+2.1+2.2</f>
        <v>8.73</v>
      </c>
      <c r="J21" s="119"/>
    </row>
    <row r="22" spans="1:10" s="68" customFormat="1" ht="109.2" customHeight="1" x14ac:dyDescent="0.25">
      <c r="A22" s="105"/>
      <c r="B22" s="106" t="s">
        <v>108</v>
      </c>
      <c r="C22" s="107"/>
      <c r="D22" s="107"/>
      <c r="E22" s="107"/>
      <c r="F22" s="107"/>
      <c r="G22" s="107"/>
      <c r="H22" s="107"/>
      <c r="I22" s="107"/>
      <c r="J22" s="108"/>
    </row>
    <row r="23" spans="1:10" s="68" customFormat="1" ht="22.2" customHeight="1" x14ac:dyDescent="0.25">
      <c r="A23" s="105"/>
      <c r="B23" s="109"/>
      <c r="C23" s="109"/>
      <c r="D23" s="105"/>
      <c r="E23" s="110"/>
      <c r="F23" s="111"/>
      <c r="G23" s="105">
        <f>SUM(G24:G24)</f>
        <v>1</v>
      </c>
      <c r="H23" s="112">
        <f>SUM(H24:H24)</f>
        <v>0.45</v>
      </c>
      <c r="I23" s="113">
        <v>230000</v>
      </c>
      <c r="J23" s="113">
        <f>I23*H23</f>
        <v>103500</v>
      </c>
    </row>
    <row r="24" spans="1:10" s="68" customFormat="1" ht="22.2" customHeight="1" x14ac:dyDescent="0.25">
      <c r="A24" s="114">
        <v>1</v>
      </c>
      <c r="B24" s="115" t="s">
        <v>103</v>
      </c>
      <c r="C24" s="115"/>
      <c r="D24" s="114" t="s">
        <v>104</v>
      </c>
      <c r="E24" s="116">
        <v>0.45</v>
      </c>
      <c r="F24" s="117">
        <v>1</v>
      </c>
      <c r="G24" s="114">
        <v>1</v>
      </c>
      <c r="H24" s="118">
        <f>E24*F24*G24</f>
        <v>0.45</v>
      </c>
      <c r="I24" s="119"/>
      <c r="J24" s="119"/>
    </row>
    <row r="25" spans="1:10" s="68" customFormat="1" ht="105.6" customHeight="1" x14ac:dyDescent="0.25">
      <c r="A25" s="105" t="s">
        <v>109</v>
      </c>
      <c r="B25" s="106" t="s">
        <v>110</v>
      </c>
      <c r="C25" s="107"/>
      <c r="D25" s="107"/>
      <c r="E25" s="107"/>
      <c r="F25" s="107"/>
      <c r="G25" s="107"/>
      <c r="H25" s="107"/>
      <c r="I25" s="107"/>
      <c r="J25" s="108"/>
    </row>
    <row r="26" spans="1:10" s="68" customFormat="1" ht="22.2" customHeight="1" x14ac:dyDescent="0.25">
      <c r="A26" s="105"/>
      <c r="B26" s="109"/>
      <c r="C26" s="109"/>
      <c r="D26" s="105"/>
      <c r="E26" s="110"/>
      <c r="F26" s="111"/>
      <c r="G26" s="105">
        <f>SUM(G27:G27)</f>
        <v>1</v>
      </c>
      <c r="H26" s="112">
        <f>SUM(H27:H27)</f>
        <v>1.08</v>
      </c>
      <c r="I26" s="113">
        <v>215000</v>
      </c>
      <c r="J26" s="113">
        <f>I26*H26</f>
        <v>232200.00000000003</v>
      </c>
    </row>
    <row r="27" spans="1:10" s="68" customFormat="1" ht="22.2" customHeight="1" x14ac:dyDescent="0.25">
      <c r="A27" s="114">
        <v>1</v>
      </c>
      <c r="B27" s="115" t="s">
        <v>103</v>
      </c>
      <c r="C27" s="115"/>
      <c r="D27" s="114" t="s">
        <v>104</v>
      </c>
      <c r="E27" s="116">
        <v>1.08</v>
      </c>
      <c r="F27" s="117">
        <v>1</v>
      </c>
      <c r="G27" s="114">
        <v>1</v>
      </c>
      <c r="H27" s="118">
        <f>E27*F27*G27</f>
        <v>1.08</v>
      </c>
      <c r="I27" s="119"/>
      <c r="J27" s="119"/>
    </row>
    <row r="28" spans="1:10" s="68" customFormat="1" ht="105.6" customHeight="1" x14ac:dyDescent="0.25">
      <c r="A28" s="105"/>
      <c r="B28" s="106" t="s">
        <v>111</v>
      </c>
      <c r="C28" s="107"/>
      <c r="D28" s="107"/>
      <c r="E28" s="107"/>
      <c r="F28" s="107"/>
      <c r="G28" s="107"/>
      <c r="H28" s="107"/>
      <c r="I28" s="107"/>
      <c r="J28" s="108"/>
    </row>
    <row r="29" spans="1:10" s="68" customFormat="1" ht="22.2" customHeight="1" x14ac:dyDescent="0.25">
      <c r="A29" s="105"/>
      <c r="B29" s="109"/>
      <c r="C29" s="109"/>
      <c r="D29" s="105"/>
      <c r="E29" s="110"/>
      <c r="F29" s="111"/>
      <c r="G29" s="105">
        <f>SUM(G30:G30)</f>
        <v>1</v>
      </c>
      <c r="H29" s="112">
        <f>SUM(H30:H30)</f>
        <v>1.08</v>
      </c>
      <c r="I29" s="113">
        <v>215000</v>
      </c>
      <c r="J29" s="113">
        <f>I29*H29</f>
        <v>232200.00000000003</v>
      </c>
    </row>
    <row r="30" spans="1:10" s="68" customFormat="1" ht="22.2" customHeight="1" x14ac:dyDescent="0.25">
      <c r="A30" s="114">
        <v>1</v>
      </c>
      <c r="B30" s="115" t="s">
        <v>103</v>
      </c>
      <c r="C30" s="115"/>
      <c r="D30" s="114" t="s">
        <v>104</v>
      </c>
      <c r="E30" s="116">
        <v>1.08</v>
      </c>
      <c r="F30" s="117">
        <v>1</v>
      </c>
      <c r="G30" s="114">
        <v>1</v>
      </c>
      <c r="H30" s="118">
        <f>E30*F30*G30</f>
        <v>1.08</v>
      </c>
      <c r="I30" s="119"/>
      <c r="J30" s="119"/>
    </row>
    <row r="31" spans="1:10" s="68" customFormat="1" ht="51" customHeight="1" x14ac:dyDescent="0.25">
      <c r="A31" s="105"/>
      <c r="B31" s="122" t="s">
        <v>112</v>
      </c>
      <c r="C31" s="123"/>
      <c r="D31" s="123"/>
      <c r="E31" s="123"/>
      <c r="F31" s="123"/>
      <c r="G31" s="123"/>
      <c r="H31" s="123"/>
      <c r="I31" s="123"/>
      <c r="J31" s="124"/>
    </row>
    <row r="32" spans="1:10" s="68" customFormat="1" ht="22.2" customHeight="1" x14ac:dyDescent="0.25">
      <c r="A32" s="105"/>
      <c r="B32" s="109"/>
      <c r="C32" s="109"/>
      <c r="D32" s="105"/>
      <c r="E32" s="110"/>
      <c r="F32" s="111"/>
      <c r="G32" s="105">
        <f>SUM(G33:G33)</f>
        <v>1</v>
      </c>
      <c r="H32" s="112">
        <f>SUM(H33:H33)</f>
        <v>1</v>
      </c>
      <c r="I32" s="113">
        <v>125000</v>
      </c>
      <c r="J32" s="113">
        <f>I32*H32</f>
        <v>125000</v>
      </c>
    </row>
    <row r="33" spans="1:11" s="68" customFormat="1" ht="22.2" customHeight="1" x14ac:dyDescent="0.25">
      <c r="A33" s="114">
        <v>1</v>
      </c>
      <c r="B33" s="115" t="s">
        <v>103</v>
      </c>
      <c r="C33" s="115"/>
      <c r="D33" s="114" t="s">
        <v>104</v>
      </c>
      <c r="E33" s="116">
        <v>1</v>
      </c>
      <c r="F33" s="117">
        <v>1</v>
      </c>
      <c r="G33" s="114">
        <v>1</v>
      </c>
      <c r="H33" s="118">
        <f>E33*F33*G33</f>
        <v>1</v>
      </c>
      <c r="I33" s="119"/>
      <c r="J33" s="119"/>
    </row>
    <row r="34" spans="1:11" s="68" customFormat="1" ht="22.2" customHeight="1" x14ac:dyDescent="0.25">
      <c r="A34" s="105"/>
      <c r="B34" s="125" t="s">
        <v>113</v>
      </c>
      <c r="C34" s="126"/>
      <c r="D34" s="126"/>
      <c r="E34" s="126"/>
      <c r="F34" s="126"/>
      <c r="G34" s="126"/>
      <c r="H34" s="126"/>
      <c r="I34" s="127"/>
      <c r="J34" s="128"/>
    </row>
    <row r="35" spans="1:11" s="68" customFormat="1" ht="22.2" customHeight="1" x14ac:dyDescent="0.25">
      <c r="A35" s="114">
        <v>1</v>
      </c>
      <c r="B35" s="115" t="s">
        <v>114</v>
      </c>
      <c r="C35" s="115"/>
      <c r="D35" s="114" t="s">
        <v>115</v>
      </c>
      <c r="E35" s="116"/>
      <c r="F35" s="117"/>
      <c r="G35" s="114">
        <v>1</v>
      </c>
      <c r="H35" s="118">
        <v>1</v>
      </c>
      <c r="I35" s="119">
        <v>19000</v>
      </c>
      <c r="J35" s="119"/>
    </row>
    <row r="36" spans="1:11" s="68" customFormat="1" ht="22.2" customHeight="1" x14ac:dyDescent="0.25">
      <c r="A36" s="114">
        <v>2</v>
      </c>
      <c r="B36" s="115" t="s">
        <v>116</v>
      </c>
      <c r="C36" s="115"/>
      <c r="D36" s="114" t="s">
        <v>117</v>
      </c>
      <c r="E36" s="116"/>
      <c r="F36" s="117"/>
      <c r="G36" s="114">
        <v>1</v>
      </c>
      <c r="H36" s="118">
        <v>1</v>
      </c>
      <c r="I36" s="119">
        <v>7000</v>
      </c>
      <c r="J36" s="119"/>
    </row>
    <row r="37" spans="1:11" s="68" customFormat="1" ht="22.2" customHeight="1" x14ac:dyDescent="0.25">
      <c r="A37" s="114">
        <v>3</v>
      </c>
      <c r="B37" s="115" t="s">
        <v>118</v>
      </c>
      <c r="C37" s="115"/>
      <c r="D37" s="114" t="s">
        <v>115</v>
      </c>
      <c r="E37" s="116"/>
      <c r="F37" s="117"/>
      <c r="G37" s="114">
        <v>1</v>
      </c>
      <c r="H37" s="118">
        <v>1</v>
      </c>
      <c r="I37" s="119">
        <v>13000</v>
      </c>
      <c r="J37" s="119"/>
    </row>
    <row r="38" spans="1:11" s="68" customFormat="1" ht="39" customHeight="1" x14ac:dyDescent="0.25">
      <c r="A38" s="105"/>
      <c r="B38" s="122" t="s">
        <v>119</v>
      </c>
      <c r="C38" s="123"/>
      <c r="D38" s="123"/>
      <c r="E38" s="123"/>
      <c r="F38" s="123"/>
      <c r="G38" s="123"/>
      <c r="H38" s="123"/>
      <c r="I38" s="123"/>
      <c r="J38" s="124"/>
    </row>
    <row r="39" spans="1:11" s="68" customFormat="1" ht="22.2" customHeight="1" x14ac:dyDescent="0.25">
      <c r="A39" s="105"/>
      <c r="B39" s="109"/>
      <c r="C39" s="109"/>
      <c r="D39" s="105"/>
      <c r="E39" s="110"/>
      <c r="F39" s="111"/>
      <c r="G39" s="105">
        <f>SUM(G40:G48)</f>
        <v>9</v>
      </c>
      <c r="H39" s="129">
        <f>SUM(H40:H48)</f>
        <v>9.1999999999999993</v>
      </c>
      <c r="I39" s="113"/>
      <c r="J39" s="113"/>
    </row>
    <row r="40" spans="1:11" s="68" customFormat="1" ht="22.2" customHeight="1" x14ac:dyDescent="0.25">
      <c r="A40" s="114">
        <v>1</v>
      </c>
      <c r="B40" s="115" t="s">
        <v>120</v>
      </c>
      <c r="C40" s="115"/>
      <c r="D40" s="114" t="s">
        <v>121</v>
      </c>
      <c r="E40" s="116">
        <v>0.1</v>
      </c>
      <c r="F40" s="117">
        <v>1.2</v>
      </c>
      <c r="G40" s="114">
        <v>1</v>
      </c>
      <c r="H40" s="130">
        <f>F40*G40</f>
        <v>1.2</v>
      </c>
      <c r="I40" s="119">
        <f>ROUND(($K$41/(1.2/E40)+$K$42)/1.1,-2)</f>
        <v>0</v>
      </c>
      <c r="J40" s="119">
        <f>I40*H40</f>
        <v>0</v>
      </c>
    </row>
    <row r="41" spans="1:11" s="68" customFormat="1" ht="22.2" customHeight="1" x14ac:dyDescent="0.25">
      <c r="A41" s="114">
        <v>2</v>
      </c>
      <c r="B41" s="115" t="s">
        <v>122</v>
      </c>
      <c r="C41" s="115"/>
      <c r="D41" s="114" t="s">
        <v>121</v>
      </c>
      <c r="E41" s="116">
        <v>0.12</v>
      </c>
      <c r="F41" s="117">
        <v>1</v>
      </c>
      <c r="G41" s="114">
        <v>1</v>
      </c>
      <c r="H41" s="130">
        <f t="shared" ref="H41:H53" si="0">F41*G41</f>
        <v>1</v>
      </c>
      <c r="I41" s="119">
        <f t="shared" ref="I41:I48" si="1">ROUND(($K$41/(1.2/E41)+$K$42)/1.1,-2)</f>
        <v>0</v>
      </c>
      <c r="J41" s="119">
        <f t="shared" ref="J41:J53" si="2">I41*H41</f>
        <v>0</v>
      </c>
    </row>
    <row r="42" spans="1:11" s="68" customFormat="1" ht="22.2" customHeight="1" x14ac:dyDescent="0.25">
      <c r="A42" s="114">
        <v>2</v>
      </c>
      <c r="B42" s="115" t="s">
        <v>123</v>
      </c>
      <c r="C42" s="115"/>
      <c r="D42" s="114" t="s">
        <v>121</v>
      </c>
      <c r="E42" s="116">
        <v>0.15</v>
      </c>
      <c r="F42" s="117">
        <v>1</v>
      </c>
      <c r="G42" s="114">
        <v>1</v>
      </c>
      <c r="H42" s="130">
        <f t="shared" si="0"/>
        <v>1</v>
      </c>
      <c r="I42" s="119">
        <f t="shared" si="1"/>
        <v>0</v>
      </c>
      <c r="J42" s="119">
        <f t="shared" si="2"/>
        <v>0</v>
      </c>
    </row>
    <row r="43" spans="1:11" s="68" customFormat="1" ht="22.2" customHeight="1" x14ac:dyDescent="0.25">
      <c r="A43" s="114">
        <v>3</v>
      </c>
      <c r="B43" s="115" t="s">
        <v>124</v>
      </c>
      <c r="C43" s="115"/>
      <c r="D43" s="114" t="s">
        <v>121</v>
      </c>
      <c r="E43" s="116">
        <v>0.2</v>
      </c>
      <c r="F43" s="117">
        <v>1</v>
      </c>
      <c r="G43" s="114">
        <v>1</v>
      </c>
      <c r="H43" s="130">
        <f t="shared" si="0"/>
        <v>1</v>
      </c>
      <c r="I43" s="119">
        <f t="shared" si="1"/>
        <v>0</v>
      </c>
      <c r="J43" s="119">
        <f t="shared" si="2"/>
        <v>0</v>
      </c>
    </row>
    <row r="44" spans="1:11" s="68" customFormat="1" ht="22.2" customHeight="1" x14ac:dyDescent="0.25">
      <c r="A44" s="114">
        <v>4</v>
      </c>
      <c r="B44" s="115" t="s">
        <v>125</v>
      </c>
      <c r="C44" s="115"/>
      <c r="D44" s="114" t="s">
        <v>121</v>
      </c>
      <c r="E44" s="116">
        <v>0.24</v>
      </c>
      <c r="F44" s="117">
        <v>1</v>
      </c>
      <c r="G44" s="114">
        <v>1</v>
      </c>
      <c r="H44" s="130">
        <f t="shared" si="0"/>
        <v>1</v>
      </c>
      <c r="I44" s="119">
        <f t="shared" si="1"/>
        <v>0</v>
      </c>
      <c r="J44" s="119">
        <f t="shared" si="2"/>
        <v>0</v>
      </c>
    </row>
    <row r="45" spans="1:11" s="68" customFormat="1" ht="22.2" customHeight="1" x14ac:dyDescent="0.25">
      <c r="A45" s="114">
        <v>5</v>
      </c>
      <c r="B45" s="115" t="s">
        <v>126</v>
      </c>
      <c r="C45" s="115"/>
      <c r="D45" s="114" t="s">
        <v>121</v>
      </c>
      <c r="E45" s="116">
        <v>0.3</v>
      </c>
      <c r="F45" s="117">
        <v>1</v>
      </c>
      <c r="G45" s="114">
        <v>1</v>
      </c>
      <c r="H45" s="130">
        <f t="shared" si="0"/>
        <v>1</v>
      </c>
      <c r="I45" s="119">
        <f t="shared" si="1"/>
        <v>0</v>
      </c>
      <c r="J45" s="119">
        <f t="shared" si="2"/>
        <v>0</v>
      </c>
    </row>
    <row r="46" spans="1:11" s="68" customFormat="1" ht="22.2" customHeight="1" x14ac:dyDescent="0.25">
      <c r="A46" s="114">
        <v>6</v>
      </c>
      <c r="B46" s="115" t="s">
        <v>127</v>
      </c>
      <c r="C46" s="115"/>
      <c r="D46" s="114" t="s">
        <v>121</v>
      </c>
      <c r="E46" s="116">
        <v>0.4</v>
      </c>
      <c r="F46" s="117">
        <v>1</v>
      </c>
      <c r="G46" s="114">
        <v>1</v>
      </c>
      <c r="H46" s="130">
        <f t="shared" si="0"/>
        <v>1</v>
      </c>
      <c r="I46" s="119">
        <f t="shared" si="1"/>
        <v>0</v>
      </c>
      <c r="J46" s="119">
        <f t="shared" si="2"/>
        <v>0</v>
      </c>
    </row>
    <row r="47" spans="1:11" s="68" customFormat="1" ht="22.2" customHeight="1" x14ac:dyDescent="0.25">
      <c r="A47" s="114">
        <v>7</v>
      </c>
      <c r="B47" s="115" t="s">
        <v>128</v>
      </c>
      <c r="C47" s="115"/>
      <c r="D47" s="114" t="s">
        <v>121</v>
      </c>
      <c r="E47" s="116">
        <v>0.5</v>
      </c>
      <c r="F47" s="117">
        <v>1</v>
      </c>
      <c r="G47" s="114">
        <v>1</v>
      </c>
      <c r="H47" s="130">
        <f t="shared" si="0"/>
        <v>1</v>
      </c>
      <c r="I47" s="119">
        <f t="shared" si="1"/>
        <v>0</v>
      </c>
      <c r="J47" s="119">
        <f t="shared" si="2"/>
        <v>0</v>
      </c>
      <c r="K47" s="131"/>
    </row>
    <row r="48" spans="1:11" s="68" customFormat="1" ht="22.2" customHeight="1" x14ac:dyDescent="0.25">
      <c r="A48" s="114">
        <v>8</v>
      </c>
      <c r="B48" s="115" t="s">
        <v>129</v>
      </c>
      <c r="C48" s="115"/>
      <c r="D48" s="114" t="s">
        <v>121</v>
      </c>
      <c r="E48" s="116">
        <v>0.6</v>
      </c>
      <c r="F48" s="117">
        <v>1</v>
      </c>
      <c r="G48" s="114">
        <v>1</v>
      </c>
      <c r="H48" s="130">
        <f t="shared" si="0"/>
        <v>1</v>
      </c>
      <c r="I48" s="119">
        <f t="shared" si="1"/>
        <v>0</v>
      </c>
      <c r="J48" s="119">
        <f t="shared" si="2"/>
        <v>0</v>
      </c>
      <c r="K48" s="131"/>
    </row>
    <row r="49" spans="1:16" s="68" customFormat="1" ht="22.2" customHeight="1" x14ac:dyDescent="0.25">
      <c r="A49" s="114">
        <v>9</v>
      </c>
      <c r="B49" s="132" t="s">
        <v>130</v>
      </c>
      <c r="C49" s="133"/>
      <c r="D49" s="114" t="s">
        <v>121</v>
      </c>
      <c r="E49" s="116">
        <v>0.7</v>
      </c>
      <c r="F49" s="117">
        <v>1</v>
      </c>
      <c r="G49" s="114">
        <v>1</v>
      </c>
      <c r="H49" s="130">
        <f t="shared" si="0"/>
        <v>1</v>
      </c>
      <c r="I49" s="119">
        <f t="shared" ref="I49:I53" si="3">ROUND(($K$26/(1.2/E49)+$K$27)/1.1,-2)</f>
        <v>0</v>
      </c>
      <c r="J49" s="119">
        <f t="shared" si="2"/>
        <v>0</v>
      </c>
      <c r="K49" s="131"/>
    </row>
    <row r="50" spans="1:16" s="68" customFormat="1" ht="22.2" customHeight="1" x14ac:dyDescent="0.25">
      <c r="A50" s="114">
        <v>10</v>
      </c>
      <c r="B50" s="132" t="s">
        <v>131</v>
      </c>
      <c r="C50" s="133"/>
      <c r="D50" s="114" t="s">
        <v>121</v>
      </c>
      <c r="E50" s="116">
        <v>0.8</v>
      </c>
      <c r="F50" s="117">
        <v>1</v>
      </c>
      <c r="G50" s="114">
        <v>1</v>
      </c>
      <c r="H50" s="130">
        <f t="shared" si="0"/>
        <v>1</v>
      </c>
      <c r="I50" s="119">
        <f t="shared" si="3"/>
        <v>0</v>
      </c>
      <c r="J50" s="119">
        <f t="shared" si="2"/>
        <v>0</v>
      </c>
      <c r="K50" s="131"/>
    </row>
    <row r="51" spans="1:16" s="68" customFormat="1" ht="22.2" customHeight="1" x14ac:dyDescent="0.25">
      <c r="A51" s="114">
        <v>11</v>
      </c>
      <c r="B51" s="132" t="s">
        <v>132</v>
      </c>
      <c r="C51" s="133"/>
      <c r="D51" s="114" t="s">
        <v>121</v>
      </c>
      <c r="E51" s="116">
        <v>0.9</v>
      </c>
      <c r="F51" s="117">
        <v>1</v>
      </c>
      <c r="G51" s="114">
        <v>1</v>
      </c>
      <c r="H51" s="130">
        <f t="shared" si="0"/>
        <v>1</v>
      </c>
      <c r="I51" s="119">
        <f t="shared" si="3"/>
        <v>0</v>
      </c>
      <c r="J51" s="119">
        <f t="shared" si="2"/>
        <v>0</v>
      </c>
      <c r="K51" s="131"/>
    </row>
    <row r="52" spans="1:16" s="68" customFormat="1" ht="22.2" customHeight="1" x14ac:dyDescent="0.25">
      <c r="A52" s="114">
        <v>12</v>
      </c>
      <c r="B52" s="132" t="s">
        <v>133</v>
      </c>
      <c r="C52" s="133"/>
      <c r="D52" s="114" t="s">
        <v>121</v>
      </c>
      <c r="E52" s="116">
        <v>1</v>
      </c>
      <c r="F52" s="117">
        <v>1</v>
      </c>
      <c r="G52" s="114">
        <v>1</v>
      </c>
      <c r="H52" s="130">
        <f t="shared" si="0"/>
        <v>1</v>
      </c>
      <c r="I52" s="119">
        <f t="shared" si="3"/>
        <v>0</v>
      </c>
      <c r="J52" s="119">
        <f t="shared" si="2"/>
        <v>0</v>
      </c>
      <c r="K52" s="131"/>
    </row>
    <row r="53" spans="1:16" s="68" customFormat="1" ht="22.2" customHeight="1" x14ac:dyDescent="0.25">
      <c r="A53" s="114">
        <v>13</v>
      </c>
      <c r="B53" s="132" t="s">
        <v>134</v>
      </c>
      <c r="C53" s="133"/>
      <c r="D53" s="114" t="s">
        <v>121</v>
      </c>
      <c r="E53" s="116">
        <v>1.2</v>
      </c>
      <c r="F53" s="117">
        <v>1</v>
      </c>
      <c r="G53" s="114">
        <v>1</v>
      </c>
      <c r="H53" s="130">
        <f t="shared" si="0"/>
        <v>1</v>
      </c>
      <c r="I53" s="119">
        <f t="shared" si="3"/>
        <v>0</v>
      </c>
      <c r="J53" s="119">
        <f t="shared" si="2"/>
        <v>0</v>
      </c>
      <c r="K53" s="131"/>
    </row>
    <row r="54" spans="1:16" s="68" customFormat="1" ht="22.2" customHeight="1" x14ac:dyDescent="0.25">
      <c r="A54" s="105" t="s">
        <v>135</v>
      </c>
      <c r="B54" s="109" t="s">
        <v>136</v>
      </c>
      <c r="C54" s="109"/>
      <c r="D54" s="109"/>
      <c r="E54" s="109"/>
      <c r="F54" s="109"/>
      <c r="G54" s="109"/>
      <c r="H54" s="109"/>
      <c r="I54" s="109"/>
      <c r="J54" s="134">
        <f>SUM(J7:J53)</f>
        <v>2045070</v>
      </c>
      <c r="K54" s="131"/>
    </row>
    <row r="55" spans="1:16" s="68" customFormat="1" ht="22.2" customHeight="1" x14ac:dyDescent="0.25">
      <c r="A55" s="105" t="s">
        <v>137</v>
      </c>
      <c r="B55" s="109" t="s">
        <v>138</v>
      </c>
      <c r="C55" s="109"/>
      <c r="D55" s="109"/>
      <c r="E55" s="109"/>
      <c r="F55" s="109"/>
      <c r="G55" s="109"/>
      <c r="H55" s="109"/>
      <c r="I55" s="109"/>
      <c r="J55" s="135"/>
      <c r="K55" s="131"/>
    </row>
    <row r="56" spans="1:16" s="68" customFormat="1" ht="22.2" customHeight="1" x14ac:dyDescent="0.25">
      <c r="A56" s="114">
        <v>1</v>
      </c>
      <c r="B56" s="121" t="s">
        <v>139</v>
      </c>
      <c r="C56" s="121"/>
      <c r="D56" s="136" t="s">
        <v>140</v>
      </c>
      <c r="E56" s="116"/>
      <c r="F56" s="117"/>
      <c r="G56" s="114"/>
      <c r="H56" s="137"/>
      <c r="I56" s="138"/>
      <c r="J56" s="139">
        <f>H56*G56</f>
        <v>0</v>
      </c>
      <c r="K56" s="131"/>
    </row>
    <row r="57" spans="1:16" s="68" customFormat="1" ht="22.2" customHeight="1" x14ac:dyDescent="0.25">
      <c r="A57" s="105" t="s">
        <v>141</v>
      </c>
      <c r="B57" s="125" t="s">
        <v>142</v>
      </c>
      <c r="C57" s="126"/>
      <c r="D57" s="126"/>
      <c r="E57" s="126"/>
      <c r="F57" s="126"/>
      <c r="G57" s="126"/>
      <c r="H57" s="126"/>
      <c r="I57" s="127"/>
      <c r="J57" s="134">
        <f>J54+J56</f>
        <v>2045070</v>
      </c>
      <c r="K57" s="131"/>
    </row>
    <row r="58" spans="1:16" s="68" customFormat="1" ht="22.2" customHeight="1" x14ac:dyDescent="0.25">
      <c r="A58" s="186" t="s">
        <v>143</v>
      </c>
      <c r="B58" s="186"/>
      <c r="C58" s="143" t="str">
        <f>$W$7</f>
        <v>Chín trăm tám mươi chín ngàn, ba trăm chín mươi chín đồng ./.</v>
      </c>
      <c r="D58" s="143"/>
      <c r="E58" s="143"/>
      <c r="F58" s="143"/>
      <c r="G58" s="143"/>
      <c r="H58" s="143"/>
      <c r="I58" s="143"/>
      <c r="J58" s="149"/>
      <c r="K58" s="149"/>
      <c r="L58" s="149" t="s">
        <v>167</v>
      </c>
    </row>
    <row r="59" spans="1:16" s="68" customFormat="1" ht="22.2" customHeight="1" x14ac:dyDescent="0.25">
      <c r="A59" s="144" t="s">
        <v>144</v>
      </c>
      <c r="B59" s="144"/>
      <c r="E59" s="145"/>
      <c r="F59" s="146"/>
      <c r="H59" s="147"/>
      <c r="I59" s="148"/>
      <c r="J59" s="149">
        <v>989399</v>
      </c>
      <c r="K59" s="149"/>
      <c r="L59" s="149"/>
      <c r="M59" s="178"/>
      <c r="N59" s="178"/>
    </row>
    <row r="60" spans="1:16" s="151" customFormat="1" ht="18" customHeight="1" x14ac:dyDescent="0.25">
      <c r="A60" s="150" t="s">
        <v>145</v>
      </c>
      <c r="E60" s="152"/>
      <c r="F60" s="153"/>
      <c r="H60" s="154"/>
    </row>
    <row r="61" spans="1:16" s="151" customFormat="1" ht="18" customHeight="1" x14ac:dyDescent="0.25">
      <c r="A61" s="151" t="s">
        <v>146</v>
      </c>
      <c r="E61" s="151" t="s">
        <v>147</v>
      </c>
      <c r="F61" s="153"/>
      <c r="H61" s="154"/>
    </row>
    <row r="62" spans="1:16" s="151" customFormat="1" ht="18" customHeight="1" x14ac:dyDescent="0.25">
      <c r="A62" s="151" t="s">
        <v>148</v>
      </c>
      <c r="E62" s="151" t="s">
        <v>149</v>
      </c>
      <c r="F62" s="153"/>
      <c r="H62" s="154"/>
    </row>
    <row r="63" spans="1:16" s="151" customFormat="1" ht="18" customHeight="1" x14ac:dyDescent="0.25">
      <c r="A63" s="151" t="str">
        <f>"6. Giá trên "&amp;K63&amp;" bao gồm vận chuyển."</f>
        <v>6. Giá trên chưa bao gồm vận chuyển.</v>
      </c>
      <c r="E63" s="152"/>
      <c r="F63" s="153"/>
      <c r="H63" s="154"/>
      <c r="K63" s="155" t="s">
        <v>150</v>
      </c>
    </row>
    <row r="64" spans="1:16" s="72" customFormat="1" ht="25.95" customHeight="1" x14ac:dyDescent="0.25">
      <c r="A64" s="177" t="s">
        <v>168</v>
      </c>
      <c r="E64" s="187"/>
      <c r="F64" s="73"/>
      <c r="H64" s="85"/>
      <c r="I64" s="178"/>
      <c r="J64" s="178"/>
      <c r="K64" s="178"/>
      <c r="L64" s="178"/>
      <c r="M64" s="178"/>
      <c r="N64" s="178"/>
      <c r="O64" s="178"/>
      <c r="P64" s="178"/>
    </row>
    <row r="65" spans="1:16" s="72" customFormat="1" ht="22.2" customHeight="1" x14ac:dyDescent="0.25">
      <c r="A65" s="177" t="s">
        <v>169</v>
      </c>
      <c r="B65" s="177"/>
      <c r="C65" s="72" t="s">
        <v>170</v>
      </c>
      <c r="E65" s="188" t="s">
        <v>171</v>
      </c>
      <c r="H65" s="189">
        <f ca="1">TODAY()+3</f>
        <v>46200</v>
      </c>
      <c r="I65" s="189"/>
      <c r="J65" s="178"/>
      <c r="K65" s="178"/>
      <c r="L65" s="178"/>
      <c r="M65" s="178"/>
      <c r="N65" s="178"/>
      <c r="O65" s="178"/>
      <c r="P65" s="178"/>
    </row>
    <row r="66" spans="1:16" s="72" customFormat="1" ht="22.2" customHeight="1" x14ac:dyDescent="0.25">
      <c r="A66" s="177" t="s">
        <v>172</v>
      </c>
      <c r="B66" s="177"/>
      <c r="C66" s="72" t="s">
        <v>173</v>
      </c>
      <c r="E66" s="177" t="s">
        <v>174</v>
      </c>
      <c r="G66" s="190"/>
      <c r="H66" s="191" t="s">
        <v>175</v>
      </c>
      <c r="I66" s="191"/>
      <c r="J66" s="191"/>
    </row>
    <row r="67" spans="1:16" s="72" customFormat="1" ht="22.2" customHeight="1" x14ac:dyDescent="0.25">
      <c r="A67" s="188" t="s">
        <v>176</v>
      </c>
      <c r="B67" s="177"/>
      <c r="C67" s="72" t="s">
        <v>177</v>
      </c>
      <c r="E67" s="177" t="s">
        <v>178</v>
      </c>
      <c r="H67" s="192" t="s">
        <v>179</v>
      </c>
      <c r="I67" s="192"/>
      <c r="J67" s="178"/>
    </row>
    <row r="68" spans="1:16" s="72" customFormat="1" ht="22.2" customHeight="1" x14ac:dyDescent="0.25">
      <c r="A68" s="177" t="s">
        <v>180</v>
      </c>
      <c r="B68" s="177"/>
      <c r="C68" s="83" t="str">
        <f>$C$7</f>
        <v>Mr Cường</v>
      </c>
      <c r="E68" s="193" t="s">
        <v>181</v>
      </c>
      <c r="F68" s="193"/>
      <c r="G68" s="193"/>
      <c r="H68" s="194" t="str">
        <f>$F$7</f>
        <v>0902804007</v>
      </c>
      <c r="I68" s="194"/>
      <c r="J68" s="178"/>
    </row>
    <row r="69" spans="1:16" s="72" customFormat="1" ht="22.2" customHeight="1" x14ac:dyDescent="0.25">
      <c r="A69" s="177" t="s">
        <v>182</v>
      </c>
      <c r="B69" s="177"/>
      <c r="C69" s="72" t="str">
        <f>C65</f>
        <v>tại Nhà máy Phú Sơn</v>
      </c>
      <c r="E69" s="187"/>
      <c r="F69" s="73"/>
      <c r="H69" s="85"/>
      <c r="I69" s="178"/>
      <c r="J69" s="178"/>
    </row>
    <row r="70" spans="1:16" s="72" customFormat="1" ht="22.2" customHeight="1" x14ac:dyDescent="0.25">
      <c r="A70" s="188" t="s">
        <v>183</v>
      </c>
      <c r="B70" s="177"/>
      <c r="C70" s="183" t="s">
        <v>184</v>
      </c>
      <c r="D70" s="183"/>
      <c r="E70" s="183"/>
      <c r="F70" s="183"/>
      <c r="G70" s="183"/>
      <c r="H70" s="183"/>
      <c r="I70" s="183"/>
      <c r="J70" s="178"/>
    </row>
    <row r="71" spans="1:16" s="197" customFormat="1" ht="22.2" customHeight="1" x14ac:dyDescent="0.25">
      <c r="A71" s="188" t="s">
        <v>185</v>
      </c>
      <c r="B71" s="177"/>
      <c r="C71" s="195"/>
      <c r="D71" s="195"/>
      <c r="E71" s="195"/>
      <c r="F71" s="195"/>
      <c r="G71" s="195"/>
      <c r="H71" s="195"/>
      <c r="I71" s="195"/>
      <c r="J71" s="196"/>
    </row>
    <row r="72" spans="1:16" s="159" customFormat="1" ht="22.2" customHeight="1" x14ac:dyDescent="0.25">
      <c r="B72" s="177" t="s">
        <v>186</v>
      </c>
      <c r="E72" s="198"/>
      <c r="F72" s="199"/>
      <c r="I72" s="162" t="s">
        <v>187</v>
      </c>
      <c r="J72" s="200"/>
    </row>
    <row r="73" spans="1:16" ht="22.2" customHeight="1" x14ac:dyDescent="0.25">
      <c r="I73" s="62"/>
    </row>
    <row r="74" spans="1:16" ht="22.2" customHeight="1" x14ac:dyDescent="0.25">
      <c r="I74" s="62"/>
    </row>
    <row r="75" spans="1:16" ht="22.2" customHeight="1" x14ac:dyDescent="0.25">
      <c r="I75" s="62"/>
    </row>
    <row r="76" spans="1:16" ht="22.2" customHeight="1" x14ac:dyDescent="0.25">
      <c r="I76" s="201" t="s">
        <v>59</v>
      </c>
    </row>
    <row r="77" spans="1:16" ht="22.2" customHeight="1" x14ac:dyDescent="0.25">
      <c r="I77" s="62"/>
    </row>
  </sheetData>
  <mergeCells count="61">
    <mergeCell ref="H68:I68"/>
    <mergeCell ref="B57:I57"/>
    <mergeCell ref="A58:B58"/>
    <mergeCell ref="A59:B59"/>
    <mergeCell ref="H65:I65"/>
    <mergeCell ref="H66:J66"/>
    <mergeCell ref="H67:I67"/>
    <mergeCell ref="B52:C52"/>
    <mergeCell ref="B53:C53"/>
    <mergeCell ref="B54:I54"/>
    <mergeCell ref="B55:I55"/>
    <mergeCell ref="B56:C56"/>
    <mergeCell ref="H56:I56"/>
    <mergeCell ref="B46:C46"/>
    <mergeCell ref="B47:C47"/>
    <mergeCell ref="B48:C48"/>
    <mergeCell ref="B49:C49"/>
    <mergeCell ref="B50:C50"/>
    <mergeCell ref="B51:C51"/>
    <mergeCell ref="B40:C40"/>
    <mergeCell ref="B41:C41"/>
    <mergeCell ref="B42:C42"/>
    <mergeCell ref="B43:C43"/>
    <mergeCell ref="B44:C44"/>
    <mergeCell ref="B45:C45"/>
    <mergeCell ref="B34:I34"/>
    <mergeCell ref="B35:C35"/>
    <mergeCell ref="B36:C36"/>
    <mergeCell ref="B37:C37"/>
    <mergeCell ref="B38:J38"/>
    <mergeCell ref="B39:C39"/>
    <mergeCell ref="B28:J28"/>
    <mergeCell ref="B29:C29"/>
    <mergeCell ref="B30:C30"/>
    <mergeCell ref="B31:J31"/>
    <mergeCell ref="B32:C32"/>
    <mergeCell ref="B33:C33"/>
    <mergeCell ref="B22:J22"/>
    <mergeCell ref="B23:C23"/>
    <mergeCell ref="B24:C24"/>
    <mergeCell ref="B25:J25"/>
    <mergeCell ref="B26:C26"/>
    <mergeCell ref="B27:C27"/>
    <mergeCell ref="B16:J16"/>
    <mergeCell ref="B17:C17"/>
    <mergeCell ref="B18:C18"/>
    <mergeCell ref="B19:J19"/>
    <mergeCell ref="B20:C20"/>
    <mergeCell ref="B21:C21"/>
    <mergeCell ref="B10:J10"/>
    <mergeCell ref="B11:C11"/>
    <mergeCell ref="B12:C12"/>
    <mergeCell ref="B13:J13"/>
    <mergeCell ref="B14:C14"/>
    <mergeCell ref="B15:C15"/>
    <mergeCell ref="I4:J4"/>
    <mergeCell ref="C5:H5"/>
    <mergeCell ref="C6:H6"/>
    <mergeCell ref="D7:E7"/>
    <mergeCell ref="B9:C9"/>
    <mergeCell ref="K9:M9"/>
  </mergeCells>
  <dataValidations count="7">
    <dataValidation type="list" allowBlank="1" showInputMessage="1" showErrorMessage="1" sqref="K63" xr:uid="{8A9023A1-6087-4510-88B2-A0E31027C738}">
      <formula1>"đã, chưa"</formula1>
    </dataValidation>
    <dataValidation type="list" allowBlank="1" showInputMessage="1" showErrorMessage="1" sqref="C5:H5" xr:uid="{EC2D5627-7B14-4FF3-9A0A-92187D13FE4C}">
      <formula1>"LỆNH SẢN XUẤT, DỰ TRÙ SẢN XUẤT"</formula1>
    </dataValidation>
    <dataValidation type="list" allowBlank="1" showInputMessage="1" showErrorMessage="1" sqref="H66:J66" xr:uid="{3235DFF3-1CB3-4C7A-B8BA-0BBC794E908B}">
      <formula1>"Không in thông tin nhà máy, In thông tin nhà máy.,…"</formula1>
    </dataValidation>
    <dataValidation type="list" allowBlank="1" showInputMessage="1" showErrorMessage="1" sqref="C70" xr:uid="{0AC6C6FF-5357-431E-AFE0-DBFD51BA5998}">
      <formula1>"Nghiệm thu &gt;&gt; Thanh toán &gt;&gt; Kinh doanh báo mới tiến hành Hạ hàng tại công trình hoặc xuất hàng tại Nhà máy., Theo Hợp đồng Kinh tế"</formula1>
    </dataValidation>
    <dataValidation type="list" allowBlank="1" showInputMessage="1" showErrorMessage="1" sqref="C65" xr:uid="{F2B73066-95F6-4FE2-AD72-8A801F3C66D7}">
      <formula1>"tại Nhà máy Phú Sơn, tại công trình"</formula1>
    </dataValidation>
    <dataValidation type="list" allowBlank="1" showInputMessage="1" showErrorMessage="1" sqref="C67" xr:uid="{2C838744-8FED-4963-AAB3-E84879553C69}">
      <formula1>"Phiếu xuất kho nhà máy., Phiếu xuất kho của Khách hàng."</formula1>
    </dataValidation>
    <dataValidation type="list" allowBlank="1" showInputMessage="1" showErrorMessage="1" sqref="C66" xr:uid="{4697A421-3DC5-46EA-8118-0D28E95A9070}">
      <formula1>"Nhà máy vận chuyển. , Khách hàng tự vận chuyển."</formula1>
    </dataValidation>
  </dataValidations>
  <hyperlinks>
    <hyperlink ref="E3" r:id="rId1" tooltip="www.panelphuson.vn" xr:uid="{E9C691A5-EFEF-4C57-9836-9F8002E45E45}"/>
    <hyperlink ref="H3" r:id="rId2" xr:uid="{FDFDA18B-3F05-4C42-86F8-D326173306B6}"/>
  </hyperlinks>
  <pageMargins left="0.51181102362204722" right="0.34" top="0.51181102362204722" bottom="0.43307086614173229" header="0.31496062992125984" footer="0.15748031496062992"/>
  <pageSetup paperSize="9" scale="92" orientation="portrait" r:id="rId3"/>
  <headerFooter>
    <oddFooter>&amp;R&amp;P</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7A6C-C194-4A31-8168-F0359E409624}">
  <sheetPr>
    <tabColor theme="9" tint="-0.249977111117893"/>
  </sheetPr>
  <dimension ref="A1:AJ21"/>
  <sheetViews>
    <sheetView zoomScaleNormal="100" workbookViewId="0">
      <selection activeCell="F367" sqref="F367"/>
    </sheetView>
  </sheetViews>
  <sheetFormatPr defaultColWidth="8.88671875" defaultRowHeight="22.2" customHeight="1" x14ac:dyDescent="0.25"/>
  <cols>
    <col min="1" max="1" width="5.6640625" style="58" customWidth="1"/>
    <col min="2" max="2" width="8.88671875" style="58" customWidth="1"/>
    <col min="3" max="3" width="41" style="58" customWidth="1"/>
    <col min="4" max="4" width="7.88671875" style="58" customWidth="1"/>
    <col min="5" max="5" width="11.33203125" style="60" hidden="1" customWidth="1"/>
    <col min="6" max="6" width="9.6640625" style="61" customWidth="1"/>
    <col min="7" max="7" width="11.5546875" style="58" customWidth="1"/>
    <col min="8" max="8" width="13.88671875" style="62" customWidth="1"/>
    <col min="9" max="9" width="14.6640625" style="63" customWidth="1"/>
    <col min="10" max="10" width="13.6640625" style="63" customWidth="1"/>
    <col min="11" max="11" width="15.6640625" style="63" customWidth="1"/>
    <col min="12" max="12" width="13.33203125" style="58" customWidth="1"/>
    <col min="13" max="13" width="12.5546875" style="58" customWidth="1"/>
    <col min="14" max="22" width="10.6640625" style="58" customWidth="1"/>
    <col min="23" max="23" width="15.6640625" style="58" customWidth="1"/>
    <col min="24" max="24" width="14.44140625" style="58" customWidth="1"/>
    <col min="25" max="58" width="10.6640625" style="58" customWidth="1"/>
    <col min="59" max="16384" width="8.88671875" style="58"/>
  </cols>
  <sheetData>
    <row r="1" spans="1:36" ht="22.2" customHeight="1" x14ac:dyDescent="0.2">
      <c r="C1" s="59" t="s">
        <v>74</v>
      </c>
      <c r="J1" s="65" t="str">
        <f>$M$1&amp;"."&amp;$M$2</f>
        <v>1.2</v>
      </c>
      <c r="K1" s="65"/>
      <c r="L1" s="165" t="s">
        <v>75</v>
      </c>
      <c r="M1" s="67">
        <f>'2.Báo giá'!$M$1</f>
        <v>1</v>
      </c>
      <c r="W1" s="69" t="e">
        <f>#REF!</f>
        <v>#REF!</v>
      </c>
      <c r="X1" s="70" t="e">
        <f>RIGHT("000000000000"&amp;ROUND(W1,0),12)</f>
        <v>#REF!</v>
      </c>
      <c r="Y1" s="70">
        <v>1</v>
      </c>
      <c r="Z1" s="70">
        <v>2</v>
      </c>
      <c r="AA1" s="70">
        <v>3</v>
      </c>
      <c r="AB1" s="70">
        <v>4</v>
      </c>
      <c r="AC1" s="70">
        <v>5</v>
      </c>
      <c r="AD1" s="70">
        <v>6</v>
      </c>
      <c r="AE1" s="70">
        <v>7</v>
      </c>
      <c r="AF1" s="70">
        <v>8</v>
      </c>
      <c r="AG1" s="70">
        <v>9</v>
      </c>
      <c r="AH1" s="70">
        <v>10</v>
      </c>
      <c r="AI1" s="70">
        <v>11</v>
      </c>
      <c r="AJ1" s="70">
        <v>12</v>
      </c>
    </row>
    <row r="2" spans="1:36" s="71" customFormat="1" ht="22.2" customHeight="1" x14ac:dyDescent="0.2">
      <c r="C2" s="72" t="s">
        <v>76</v>
      </c>
      <c r="D2" s="72"/>
      <c r="E2" s="72"/>
      <c r="F2" s="72"/>
      <c r="G2" s="72"/>
      <c r="H2" s="72"/>
      <c r="L2" s="165" t="s">
        <v>77</v>
      </c>
      <c r="M2" s="67">
        <f>'2.Báo giá'!$M$2</f>
        <v>2</v>
      </c>
      <c r="W2" s="70"/>
      <c r="X2" s="70"/>
      <c r="Y2" s="70" t="e">
        <f>VALUE(MID(X1,Y1,1))</f>
        <v>#REF!</v>
      </c>
      <c r="Z2" s="70" t="e">
        <f>VALUE(MID(X1,Z1,1))</f>
        <v>#REF!</v>
      </c>
      <c r="AA2" s="70" t="e">
        <f>VALUE(MID(X1,AA1,1))</f>
        <v>#REF!</v>
      </c>
      <c r="AB2" s="70" t="e">
        <f>VALUE(MID(X1,AB1,1))</f>
        <v>#REF!</v>
      </c>
      <c r="AC2" s="70" t="e">
        <f>VALUE(MID(X1,AC1,1))</f>
        <v>#REF!</v>
      </c>
      <c r="AD2" s="70" t="e">
        <f>VALUE(MID(X1,AD1,1))</f>
        <v>#REF!</v>
      </c>
      <c r="AE2" s="70" t="e">
        <f>VALUE(MID(X1,AE1,1))</f>
        <v>#REF!</v>
      </c>
      <c r="AF2" s="70" t="e">
        <f>VALUE(MID(X1,AF1,1))</f>
        <v>#REF!</v>
      </c>
      <c r="AG2" s="70" t="e">
        <f>VALUE(MID(X1,AG1,1))</f>
        <v>#REF!</v>
      </c>
      <c r="AH2" s="70" t="e">
        <f>VALUE(MID(X1,AH1,1))</f>
        <v>#REF!</v>
      </c>
      <c r="AI2" s="70" t="e">
        <f>VALUE(MID(X1,AI1,1))</f>
        <v>#REF!</v>
      </c>
      <c r="AJ2" s="70" t="e">
        <f>VALUE(MID(X1,AJ1,1))</f>
        <v>#REF!</v>
      </c>
    </row>
    <row r="3" spans="1:36" s="71" customFormat="1" ht="22.2" customHeight="1" x14ac:dyDescent="0.25">
      <c r="C3" s="72" t="s">
        <v>188</v>
      </c>
      <c r="D3" s="74"/>
      <c r="E3" s="202"/>
      <c r="F3" s="74"/>
      <c r="G3" s="74"/>
      <c r="H3" s="74"/>
      <c r="I3" s="76"/>
      <c r="J3"/>
      <c r="K3"/>
      <c r="L3" s="165" t="s">
        <v>81</v>
      </c>
      <c r="M3" s="77">
        <f ca="1">NOW()</f>
        <v>46197.445022453707</v>
      </c>
      <c r="N3" s="58"/>
      <c r="O3" s="58"/>
      <c r="P3" s="58"/>
      <c r="Q3" s="58"/>
      <c r="R3" s="58"/>
      <c r="S3" s="58"/>
      <c r="T3" s="58"/>
      <c r="U3" s="58"/>
      <c r="W3" s="70"/>
      <c r="X3" s="70"/>
      <c r="Y3" s="70" t="e">
        <f>SUM(Y2)</f>
        <v>#REF!</v>
      </c>
      <c r="Z3" s="70" t="e">
        <f>SUM(Y2:Z2)</f>
        <v>#REF!</v>
      </c>
      <c r="AA3" s="70" t="e">
        <f>SUM(Y2:AA2)</f>
        <v>#REF!</v>
      </c>
      <c r="AB3" s="70" t="e">
        <f>SUM(AB2)</f>
        <v>#REF!</v>
      </c>
      <c r="AC3" s="70" t="e">
        <f>SUM(AB2:AC2)</f>
        <v>#REF!</v>
      </c>
      <c r="AD3" s="70" t="e">
        <f>SUM(AB2:AD2)</f>
        <v>#REF!</v>
      </c>
      <c r="AE3" s="70" t="e">
        <f>SUM(AE2)</f>
        <v>#REF!</v>
      </c>
      <c r="AF3" s="70" t="e">
        <f>SUM(AE2:AF2)</f>
        <v>#REF!</v>
      </c>
      <c r="AG3" s="70" t="e">
        <f>SUM(AE2:AG2)</f>
        <v>#REF!</v>
      </c>
      <c r="AH3" s="70" t="e">
        <f>SUM(AH2)</f>
        <v>#REF!</v>
      </c>
      <c r="AI3" s="70" t="e">
        <f>SUM(AH2:AI2)</f>
        <v>#REF!</v>
      </c>
      <c r="AJ3" s="70" t="e">
        <f>SUM(AH2:AJ2)</f>
        <v>#REF!</v>
      </c>
    </row>
    <row r="4" spans="1:36" ht="28.2" customHeight="1" x14ac:dyDescent="0.2">
      <c r="A4" s="175" t="s">
        <v>189</v>
      </c>
      <c r="B4" s="175"/>
      <c r="C4" s="175"/>
      <c r="D4" s="175"/>
      <c r="E4" s="175"/>
      <c r="F4" s="175"/>
      <c r="G4" s="175"/>
      <c r="H4" s="175"/>
      <c r="M4" s="58">
        <v>2</v>
      </c>
      <c r="W4" s="176"/>
      <c r="X4" s="176"/>
      <c r="Y4" s="176" t="e">
        <f>IF(Y2=0,"","trăm")</f>
        <v>#REF!</v>
      </c>
      <c r="Z4" s="176" t="e">
        <f>IF(Z2=0,"",IF(Z2=1,"","mươi"))</f>
        <v>#REF!</v>
      </c>
      <c r="AA4" s="176" t="e">
        <f>IF(AND(AA2=0,AA3=0),"","tỷ,")</f>
        <v>#REF!</v>
      </c>
      <c r="AB4" s="176" t="e">
        <f>IF(AB2=0,"","trăm")</f>
        <v>#REF!</v>
      </c>
      <c r="AC4" s="176" t="e">
        <f>IF(AC2=0,"",IF(AC2=1,"","mươi"))</f>
        <v>#REF!</v>
      </c>
      <c r="AD4" s="176" t="e">
        <f>IF(AND(AD2=0,AD3=0),"","triệu,")</f>
        <v>#REF!</v>
      </c>
      <c r="AE4" s="176" t="e">
        <f>IF(AE2=0,"","trăm")</f>
        <v>#REF!</v>
      </c>
      <c r="AF4" s="176" t="e">
        <f>IF(AF2=0,"",IF(AF2=1,"","mươi"))</f>
        <v>#REF!</v>
      </c>
      <c r="AG4" s="176" t="e">
        <f>IF(AND(AG2=0,AG3=0),"","ngàn,")</f>
        <v>#REF!</v>
      </c>
      <c r="AH4" s="176" t="e">
        <f>IF(AH2=0,"","trăm")</f>
        <v>#REF!</v>
      </c>
      <c r="AI4" s="176" t="e">
        <f>IF(AI2=0,"",IF(AI2=1,"","mươi"))</f>
        <v>#REF!</v>
      </c>
      <c r="AJ4" s="176"/>
    </row>
    <row r="5" spans="1:36" s="68" customFormat="1" ht="19.95" customHeight="1" x14ac:dyDescent="0.25">
      <c r="C5" s="203" t="str">
        <f ca="1">"                               Ngày "&amp;DAY(TODAY())&amp;" tháng "&amp; MONTH(TODAY())&amp;" năm " &amp;YEAR(TODAY())</f>
        <v xml:space="preserve">                               Ngày 24 tháng 6 năm 2026</v>
      </c>
      <c r="D5" s="203"/>
      <c r="E5" s="203"/>
      <c r="F5" s="203"/>
      <c r="G5" s="166" t="s">
        <v>190</v>
      </c>
      <c r="H5" s="204" t="str">
        <f>'4.LSX-Nội bộ'!$D$4&amp;"/PS"</f>
        <v>6580/PS</v>
      </c>
      <c r="I5" s="148"/>
      <c r="J5" s="148"/>
      <c r="K5" s="148"/>
      <c r="W5" s="205"/>
      <c r="X5" s="205"/>
      <c r="Y5" s="205"/>
      <c r="Z5" s="205"/>
      <c r="AA5" s="205"/>
      <c r="AB5" s="205"/>
      <c r="AC5" s="205"/>
      <c r="AD5" s="205"/>
      <c r="AE5" s="205"/>
      <c r="AF5" s="205"/>
      <c r="AG5" s="205"/>
      <c r="AH5" s="205"/>
      <c r="AI5" s="205"/>
      <c r="AJ5" s="205"/>
    </row>
    <row r="6" spans="1:36" s="68" customFormat="1" ht="19.95" customHeight="1" x14ac:dyDescent="0.25">
      <c r="A6" s="177" t="s">
        <v>161</v>
      </c>
      <c r="C6" s="206" t="str">
        <f>VLOOKUP($M$1,'1.KH'!$B$2:$X$12,3,0)</f>
        <v>CÔNG TY TNHH SYPANEL VINA</v>
      </c>
      <c r="D6" s="206"/>
      <c r="E6" s="206"/>
      <c r="F6" s="206"/>
      <c r="G6" s="206"/>
      <c r="H6" s="206"/>
      <c r="I6" s="178"/>
      <c r="J6" s="148"/>
      <c r="K6" s="148"/>
      <c r="W6" s="179"/>
      <c r="X6" s="180" t="e">
        <f>UPPER(LEFT(TRIM(IF(W1=0,"không đồng.",#REF!&amp;" "&amp;Y4&amp;" "&amp;#REF!&amp;" "&amp;Z4&amp;" "&amp;#REF!&amp;" "&amp;AA4&amp;" "&amp;#REF!&amp;" "&amp;AB4&amp;" "&amp;#REF!&amp;" "&amp;AC4&amp;" "&amp;#REF!&amp;" "&amp;AD4&amp;" "&amp;#REF!&amp;" "&amp;AE4&amp;" "&amp;#REF!&amp;" "&amp;AF4&amp;" "&amp;#REF!&amp;" "&amp;AG4&amp;" "&amp;#REF!&amp;" "&amp;AH4&amp;" "&amp;#REF!&amp;" "&amp;AI4&amp;" "&amp;#REF!&amp;" "&amp;AJ4)),1))&amp;RIGHT(TRIM(IF(W1=0,"không đồng.",#REF!&amp;" "&amp;Y4&amp;" "&amp;#REF!&amp;" "&amp;Z4&amp;" "&amp;#REF!&amp;" "&amp;AA4&amp;" "&amp;#REF!&amp;" "&amp;AB4&amp;" "&amp;#REF!&amp;" "&amp;AC4&amp;" "&amp;#REF!&amp;" "&amp;AD4&amp;" "&amp;#REF!&amp;" "&amp;AE4&amp;" "&amp;#REF!&amp;" "&amp;AF4&amp;" "&amp;#REF!&amp;" "&amp;AG4&amp;" "&amp;#REF!&amp;" "&amp;AH4&amp;" "&amp;#REF!&amp;" "&amp;AI4&amp;" "&amp;#REF!&amp;" "&amp;AJ4)),LEN(TRIM(IF(W1=0,"không đồng.",#REF!&amp;" "&amp;Y4&amp;" "&amp;#REF!&amp;" "&amp;Z4&amp;" "&amp;#REF!&amp;" "&amp;AA4&amp;" "&amp;#REF!&amp;" "&amp;AB4&amp;" "&amp;#REF!&amp;" "&amp;AC4&amp;" "&amp;#REF!&amp;" "&amp;AD4&amp;" "&amp;#REF!&amp;" "&amp;AE4&amp;" "&amp;#REF!&amp;" "&amp;AF4&amp;" "&amp;#REF!&amp;" "&amp;AG4&amp;" "&amp;#REF!&amp;" "&amp;AH4&amp;" "&amp;#REF!&amp;" "&amp;AI4&amp;" "&amp;#REF!&amp;" "&amp;AJ4)))-1)</f>
        <v>#REF!</v>
      </c>
      <c r="Y6" s="179"/>
      <c r="Z6" s="179"/>
      <c r="AA6" s="179"/>
      <c r="AB6" s="179"/>
      <c r="AC6" s="179"/>
      <c r="AD6" s="179"/>
      <c r="AE6" s="179"/>
      <c r="AF6" s="179"/>
      <c r="AG6" s="179"/>
      <c r="AH6" s="179"/>
      <c r="AI6" s="179"/>
      <c r="AJ6" s="179"/>
    </row>
    <row r="7" spans="1:36" s="68" customFormat="1" ht="19.95" customHeight="1" x14ac:dyDescent="0.25">
      <c r="A7" s="177" t="s">
        <v>87</v>
      </c>
      <c r="C7" s="206" t="str">
        <f>VLOOKUP($M$1,'1.KH'!$B$2:$X$12,9,0)</f>
        <v xml:space="preserve"> KCN Minh Đức, xã Bạch Sam, huyện Mỹ Hào, tỉnh Hưng Yên</v>
      </c>
      <c r="D7" s="206"/>
      <c r="E7" s="206"/>
      <c r="F7" s="206"/>
      <c r="G7" s="206"/>
      <c r="H7" s="206"/>
      <c r="I7" s="178"/>
      <c r="J7" s="148"/>
      <c r="K7" s="148"/>
      <c r="W7" s="179"/>
      <c r="X7" s="180" t="str">
        <f>UPPER(LEFT(TRIM(IF(W2=0,"không đồng.",#REF!&amp;" "&amp;Y6&amp;" "&amp;#REF!&amp;" "&amp;Z6&amp;" "&amp;#REF!&amp;" "&amp;AA6&amp;" "&amp;#REF!&amp;" "&amp;AB6&amp;" "&amp;#REF!&amp;" "&amp;AC6&amp;" "&amp;#REF!&amp;" "&amp;AD6&amp;" "&amp;#REF!&amp;" "&amp;AE6&amp;" "&amp;#REF!&amp;" "&amp;AF6&amp;" "&amp;#REF!&amp;" "&amp;AG6&amp;" "&amp;#REF!&amp;" "&amp;AH6&amp;" "&amp;#REF!&amp;" "&amp;AI6&amp;" "&amp;#REF!&amp;" "&amp;AJ6)),1))&amp;RIGHT(TRIM(IF(W2=0,"không đồng.",#REF!&amp;" "&amp;Y6&amp;" "&amp;#REF!&amp;" "&amp;Z6&amp;" "&amp;#REF!&amp;" "&amp;AA6&amp;" "&amp;#REF!&amp;" "&amp;AB6&amp;" "&amp;#REF!&amp;" "&amp;AC6&amp;" "&amp;#REF!&amp;" "&amp;AD6&amp;" "&amp;#REF!&amp;" "&amp;AE6&amp;" "&amp;#REF!&amp;" "&amp;AF6&amp;" "&amp;#REF!&amp;" "&amp;AG6&amp;" "&amp;#REF!&amp;" "&amp;AH6&amp;" "&amp;#REF!&amp;" "&amp;AI6&amp;" "&amp;#REF!&amp;" "&amp;AJ6)),LEN(TRIM(IF(W2=0,"không đồng.",#REF!&amp;" "&amp;Y6&amp;" "&amp;#REF!&amp;" "&amp;Z6&amp;" "&amp;#REF!&amp;" "&amp;AA6&amp;" "&amp;#REF!&amp;" "&amp;AB6&amp;" "&amp;#REF!&amp;" "&amp;AC6&amp;" "&amp;#REF!&amp;" "&amp;AD6&amp;" "&amp;#REF!&amp;" "&amp;AE6&amp;" "&amp;#REF!&amp;" "&amp;AF6&amp;" "&amp;#REF!&amp;" "&amp;AG6&amp;" "&amp;#REF!&amp;" "&amp;AH6&amp;" "&amp;#REF!&amp;" "&amp;AI6&amp;" "&amp;#REF!&amp;" "&amp;AJ6)))-1)</f>
        <v>Không đồng.</v>
      </c>
      <c r="Y7" s="179"/>
      <c r="Z7" s="179"/>
      <c r="AA7" s="179"/>
      <c r="AB7" s="179"/>
      <c r="AC7" s="179"/>
      <c r="AD7" s="179"/>
      <c r="AE7" s="179"/>
      <c r="AF7" s="179"/>
      <c r="AG7" s="179"/>
      <c r="AH7" s="179"/>
      <c r="AI7" s="179"/>
      <c r="AJ7" s="179"/>
    </row>
    <row r="8" spans="1:36" s="68" customFormat="1" ht="19.95" customHeight="1" x14ac:dyDescent="0.25">
      <c r="A8" s="177" t="s">
        <v>191</v>
      </c>
      <c r="C8" s="72" t="str">
        <f>'4.LSX-Nội bộ'!$H$67</f>
        <v>Ngày ….</v>
      </c>
      <c r="D8" s="207" t="s">
        <v>192</v>
      </c>
      <c r="E8" s="208"/>
      <c r="G8" s="206" t="str">
        <f>VLOOKUP($M$1,'1.KH'!$B$2:$X$12,7,0)</f>
        <v>(+84) 2213 946 170</v>
      </c>
      <c r="H8" s="206"/>
      <c r="I8" s="178"/>
      <c r="J8" s="148"/>
      <c r="K8" s="148"/>
      <c r="W8" s="179"/>
      <c r="X8" s="180" t="str">
        <f>UPPER(LEFT(TRIM(IF(W3=0,"không đồng.",#REF!&amp;" "&amp;Y7&amp;" "&amp;#REF!&amp;" "&amp;Z7&amp;" "&amp;#REF!&amp;" "&amp;AA7&amp;" "&amp;#REF!&amp;" "&amp;AB7&amp;" "&amp;#REF!&amp;" "&amp;AC7&amp;" "&amp;#REF!&amp;" "&amp;AD7&amp;" "&amp;#REF!&amp;" "&amp;AE7&amp;" "&amp;#REF!&amp;" "&amp;AF7&amp;" "&amp;#REF!&amp;" "&amp;AG7&amp;" "&amp;#REF!&amp;" "&amp;AH7&amp;" "&amp;#REF!&amp;" "&amp;AI7&amp;" "&amp;#REF!&amp;" "&amp;AJ7)),1))&amp;RIGHT(TRIM(IF(W3=0,"không đồng.",#REF!&amp;" "&amp;Y7&amp;" "&amp;#REF!&amp;" "&amp;Z7&amp;" "&amp;#REF!&amp;" "&amp;AA7&amp;" "&amp;#REF!&amp;" "&amp;AB7&amp;" "&amp;#REF!&amp;" "&amp;AC7&amp;" "&amp;#REF!&amp;" "&amp;AD7&amp;" "&amp;#REF!&amp;" "&amp;AE7&amp;" "&amp;#REF!&amp;" "&amp;AF7&amp;" "&amp;#REF!&amp;" "&amp;AG7&amp;" "&amp;#REF!&amp;" "&amp;AH7&amp;" "&amp;#REF!&amp;" "&amp;AI7&amp;" "&amp;#REF!&amp;" "&amp;AJ7)),LEN(TRIM(IF(W3=0,"không đồng.",#REF!&amp;" "&amp;Y7&amp;" "&amp;#REF!&amp;" "&amp;Z7&amp;" "&amp;#REF!&amp;" "&amp;AA7&amp;" "&amp;#REF!&amp;" "&amp;AB7&amp;" "&amp;#REF!&amp;" "&amp;AC7&amp;" "&amp;#REF!&amp;" "&amp;AD7&amp;" "&amp;#REF!&amp;" "&amp;AE7&amp;" "&amp;#REF!&amp;" "&amp;AF7&amp;" "&amp;#REF!&amp;" "&amp;AG7&amp;" "&amp;#REF!&amp;" "&amp;AH7&amp;" "&amp;#REF!&amp;" "&amp;AI7&amp;" "&amp;#REF!&amp;" "&amp;AJ7)))-1)</f>
        <v>Không đồng.</v>
      </c>
      <c r="Y8" s="179"/>
      <c r="Z8" s="179"/>
      <c r="AA8" s="179"/>
      <c r="AB8" s="179"/>
      <c r="AC8" s="179"/>
      <c r="AD8" s="179"/>
      <c r="AE8" s="179"/>
      <c r="AF8" s="179"/>
      <c r="AG8" s="179"/>
      <c r="AH8" s="179"/>
      <c r="AI8" s="179"/>
      <c r="AJ8" s="179"/>
    </row>
    <row r="9" spans="1:36" s="68" customFormat="1" ht="19.95" customHeight="1" x14ac:dyDescent="0.25">
      <c r="A9" s="177" t="s">
        <v>193</v>
      </c>
      <c r="C9" s="206" t="str">
        <f>'4.LSX-Nội bộ'!$C$69</f>
        <v>tại Nhà máy Phú Sơn</v>
      </c>
      <c r="D9" s="206"/>
      <c r="E9" s="206"/>
      <c r="F9" s="206"/>
      <c r="G9" s="206"/>
      <c r="H9" s="206"/>
      <c r="I9" s="178"/>
      <c r="J9" s="148"/>
      <c r="K9" s="148"/>
      <c r="W9" s="179"/>
      <c r="X9" s="180" t="str">
        <f>UPPER(LEFT(TRIM(IF(W4=0,"không đồng.",#REF!&amp;" "&amp;Y8&amp;" "&amp;#REF!&amp;" "&amp;Z8&amp;" "&amp;#REF!&amp;" "&amp;AA8&amp;" "&amp;#REF!&amp;" "&amp;AB8&amp;" "&amp;#REF!&amp;" "&amp;AC8&amp;" "&amp;#REF!&amp;" "&amp;AD8&amp;" "&amp;#REF!&amp;" "&amp;AE8&amp;" "&amp;#REF!&amp;" "&amp;AF8&amp;" "&amp;#REF!&amp;" "&amp;AG8&amp;" "&amp;#REF!&amp;" "&amp;AH8&amp;" "&amp;#REF!&amp;" "&amp;AI8&amp;" "&amp;#REF!&amp;" "&amp;AJ8)),1))&amp;RIGHT(TRIM(IF(W4=0,"không đồng.",#REF!&amp;" "&amp;Y8&amp;" "&amp;#REF!&amp;" "&amp;Z8&amp;" "&amp;#REF!&amp;" "&amp;AA8&amp;" "&amp;#REF!&amp;" "&amp;AB8&amp;" "&amp;#REF!&amp;" "&amp;AC8&amp;" "&amp;#REF!&amp;" "&amp;AD8&amp;" "&amp;#REF!&amp;" "&amp;AE8&amp;" "&amp;#REF!&amp;" "&amp;AF8&amp;" "&amp;#REF!&amp;" "&amp;AG8&amp;" "&amp;#REF!&amp;" "&amp;AH8&amp;" "&amp;#REF!&amp;" "&amp;AI8&amp;" "&amp;#REF!&amp;" "&amp;AJ8)),LEN(TRIM(IF(W4=0,"không đồng.",#REF!&amp;" "&amp;Y8&amp;" "&amp;#REF!&amp;" "&amp;Z8&amp;" "&amp;#REF!&amp;" "&amp;AA8&amp;" "&amp;#REF!&amp;" "&amp;AB8&amp;" "&amp;#REF!&amp;" "&amp;AC8&amp;" "&amp;#REF!&amp;" "&amp;AD8&amp;" "&amp;#REF!&amp;" "&amp;AE8&amp;" "&amp;#REF!&amp;" "&amp;AF8&amp;" "&amp;#REF!&amp;" "&amp;AG8&amp;" "&amp;#REF!&amp;" "&amp;AH8&amp;" "&amp;#REF!&amp;" "&amp;AI8&amp;" "&amp;#REF!&amp;" "&amp;AJ8)))-1)</f>
        <v>Không đồng.</v>
      </c>
      <c r="Y9" s="179"/>
      <c r="Z9" s="179"/>
      <c r="AA9" s="179"/>
      <c r="AB9" s="179"/>
      <c r="AC9" s="179"/>
      <c r="AD9" s="179"/>
      <c r="AE9" s="179"/>
      <c r="AF9" s="179"/>
      <c r="AG9" s="179"/>
      <c r="AH9" s="179"/>
      <c r="AI9" s="179"/>
      <c r="AJ9" s="179"/>
    </row>
    <row r="10" spans="1:36" s="68" customFormat="1" ht="19.95" customHeight="1" x14ac:dyDescent="0.25">
      <c r="A10" s="177" t="s">
        <v>194</v>
      </c>
      <c r="C10" s="208" t="s">
        <v>59</v>
      </c>
      <c r="D10" s="207" t="s">
        <v>195</v>
      </c>
      <c r="G10" s="209" t="s">
        <v>196</v>
      </c>
      <c r="H10" s="210"/>
      <c r="I10" s="178"/>
      <c r="J10" s="148"/>
      <c r="K10" s="148"/>
      <c r="W10" s="179"/>
      <c r="X10" s="180" t="str">
        <f>UPPER(LEFT(TRIM(IF(W6=0,"không đồng.",#REF!&amp;" "&amp;Y9&amp;" "&amp;#REF!&amp;" "&amp;Z9&amp;" "&amp;#REF!&amp;" "&amp;AA9&amp;" "&amp;#REF!&amp;" "&amp;AB9&amp;" "&amp;#REF!&amp;" "&amp;AC9&amp;" "&amp;#REF!&amp;" "&amp;AD9&amp;" "&amp;#REF!&amp;" "&amp;AE9&amp;" "&amp;#REF!&amp;" "&amp;AF9&amp;" "&amp;#REF!&amp;" "&amp;AG9&amp;" "&amp;#REF!&amp;" "&amp;AH9&amp;" "&amp;#REF!&amp;" "&amp;AI9&amp;" "&amp;#REF!&amp;" "&amp;AJ9)),1))&amp;RIGHT(TRIM(IF(W6=0,"không đồng.",#REF!&amp;" "&amp;Y9&amp;" "&amp;#REF!&amp;" "&amp;Z9&amp;" "&amp;#REF!&amp;" "&amp;AA9&amp;" "&amp;#REF!&amp;" "&amp;AB9&amp;" "&amp;#REF!&amp;" "&amp;AC9&amp;" "&amp;#REF!&amp;" "&amp;AD9&amp;" "&amp;#REF!&amp;" "&amp;AE9&amp;" "&amp;#REF!&amp;" "&amp;AF9&amp;" "&amp;#REF!&amp;" "&amp;AG9&amp;" "&amp;#REF!&amp;" "&amp;AH9&amp;" "&amp;#REF!&amp;" "&amp;AI9&amp;" "&amp;#REF!&amp;" "&amp;AJ9)),LEN(TRIM(IF(W6=0,"không đồng.",#REF!&amp;" "&amp;Y9&amp;" "&amp;#REF!&amp;" "&amp;Z9&amp;" "&amp;#REF!&amp;" "&amp;AA9&amp;" "&amp;#REF!&amp;" "&amp;AB9&amp;" "&amp;#REF!&amp;" "&amp;AC9&amp;" "&amp;#REF!&amp;" "&amp;AD9&amp;" "&amp;#REF!&amp;" "&amp;AE9&amp;" "&amp;#REF!&amp;" "&amp;AF9&amp;" "&amp;#REF!&amp;" "&amp;AG9&amp;" "&amp;#REF!&amp;" "&amp;AH9&amp;" "&amp;#REF!&amp;" "&amp;AI9&amp;" "&amp;#REF!&amp;" "&amp;AJ9)))-1)</f>
        <v>Không đồng.</v>
      </c>
      <c r="Y10" s="179"/>
      <c r="Z10" s="179"/>
      <c r="AA10" s="179"/>
      <c r="AB10" s="179"/>
      <c r="AC10" s="179"/>
      <c r="AD10" s="179"/>
      <c r="AE10" s="179"/>
      <c r="AF10" s="179"/>
      <c r="AG10" s="179"/>
      <c r="AH10" s="179"/>
      <c r="AI10" s="179"/>
      <c r="AJ10" s="179"/>
    </row>
    <row r="11" spans="1:36" ht="10.95" customHeight="1" x14ac:dyDescent="0.25">
      <c r="K11" s="211"/>
    </row>
    <row r="12" spans="1:36" s="63" customFormat="1" ht="10.95" customHeight="1" x14ac:dyDescent="0.25">
      <c r="K12" s="212"/>
      <c r="L12" s="63" t="s">
        <v>197</v>
      </c>
    </row>
    <row r="13" spans="1:36" s="213" customFormat="1" ht="22.2" customHeight="1" x14ac:dyDescent="0.25">
      <c r="A13" s="131" t="s">
        <v>198</v>
      </c>
      <c r="E13" s="214"/>
      <c r="F13" s="215"/>
      <c r="H13" s="201"/>
      <c r="I13" s="216"/>
      <c r="J13" s="216"/>
      <c r="K13" s="216"/>
      <c r="L13" s="131" t="s">
        <v>199</v>
      </c>
    </row>
    <row r="14" spans="1:36" s="218" customFormat="1" ht="22.2" customHeight="1" x14ac:dyDescent="0.25">
      <c r="A14" s="217" t="s">
        <v>200</v>
      </c>
      <c r="E14" s="219"/>
      <c r="F14" s="220"/>
      <c r="H14" s="221"/>
      <c r="I14" s="222"/>
      <c r="J14" s="222"/>
      <c r="K14" s="222"/>
    </row>
    <row r="15" spans="1:36" s="224" customFormat="1" ht="22.2" customHeight="1" x14ac:dyDescent="0.25">
      <c r="A15" s="223" t="s">
        <v>201</v>
      </c>
      <c r="E15" s="225"/>
      <c r="F15" s="226"/>
      <c r="H15" s="227"/>
      <c r="I15" s="228"/>
      <c r="J15" s="228"/>
      <c r="K15" s="228"/>
    </row>
    <row r="21" spans="9:9" ht="22.2" customHeight="1" x14ac:dyDescent="0.25">
      <c r="I21" s="62">
        <f>2.3+2.13+2.1+2.2</f>
        <v>8.73</v>
      </c>
    </row>
  </sheetData>
  <mergeCells count="6">
    <mergeCell ref="A4:H4"/>
    <mergeCell ref="C5:F5"/>
    <mergeCell ref="C6:H6"/>
    <mergeCell ref="C7:H7"/>
    <mergeCell ref="G8:H8"/>
    <mergeCell ref="C9:H9"/>
  </mergeCells>
  <pageMargins left="0.70866141732283472" right="0.35433070866141736" top="0.51181102362204722" bottom="0.43307086614173229" header="0.31496062992125984" footer="0.15748031496062992"/>
  <pageSetup paperSize="9" scale="92" orientation="portrait" r:id="rId1"/>
  <headerFooter>
    <oddFooter>&amp;R&amp;P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1.KH</vt:lpstr>
      <vt:lpstr>2.Báo giá</vt:lpstr>
      <vt:lpstr>4.LSX-Nội bộ</vt:lpstr>
      <vt:lpstr>4.LSX-PXK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Phong</dc:creator>
  <cp:lastModifiedBy>Tran Phong</cp:lastModifiedBy>
  <dcterms:created xsi:type="dcterms:W3CDTF">2026-06-24T03:39:35Z</dcterms:created>
  <dcterms:modified xsi:type="dcterms:W3CDTF">2026-06-24T03:41:04Z</dcterms:modified>
</cp:coreProperties>
</file>